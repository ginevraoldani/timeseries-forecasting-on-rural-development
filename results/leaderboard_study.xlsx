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results\"/>
    </mc:Choice>
  </mc:AlternateContent>
  <xr:revisionPtr revIDLastSave="0" documentId="13_ncr:1_{4E53A196-3C76-47DF-A556-87DAF5D48889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TOTAL" sheetId="1" r:id="rId1"/>
    <sheet name="comparisonMAPE" sheetId="2" r:id="rId2"/>
    <sheet name="comparisonR2" sheetId="3" r:id="rId3"/>
    <sheet name="exogenous" sheetId="10" r:id="rId4"/>
  </sheets>
  <definedNames>
    <definedName name="DatiEsterni_1" localSheetId="3" hidden="1">exogenous!$A$1:$B$23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196AC-267D-4F00-83F3-97ECDEE4F768}" keepAlive="1" name="Query - Tabella1" description="Connessione alla query 'Tabella1' nella cartella di lavoro." type="5" refreshedVersion="8" background="1" saveData="1">
    <dbPr connection="Provider=Microsoft.Mashup.OleDb.1;Data Source=$Workbook$;Location=Tabella1;Extended Properties=&quot;&quot;" command="SELECT * FROM [Tabella1]"/>
  </connection>
  <connection id="2" xr16:uid="{9EF9BD39-D6DC-4D95-A8D1-C9911E6DD33E}" keepAlive="1" name="Query - Tabella1_1" description="Connessione alla query 'Tabella1_1' nella cartella di lavoro." type="5" refreshedVersion="0" background="1">
    <dbPr connection="Provider=Microsoft.Mashup.OleDb.1;Data Source=$Workbook$;Location=Tabella1_1;Extended Properties=&quot;&quot;" command="SELECT * FROM [Tabella1_1]"/>
  </connection>
  <connection id="3" xr16:uid="{3E59127E-64D6-4671-8DCE-3F7994AF5E4C}" keepAlive="1" name="Query - Tabella1_2" description="Connessione alla query 'Tabella1_2' nella cartella di lavoro." type="5" refreshedVersion="0" background="1">
    <dbPr connection="Provider=Microsoft.Mashup.OleDb.1;Data Source=$Workbook$;Location=Tabella1_2;Extended Properties=&quot;&quot;" command="SELECT * FROM [Tabella1_2]"/>
  </connection>
  <connection id="4" xr16:uid="{F32A8A94-8EED-4E67-AB9A-9A3649287899}" keepAlive="1" name="Query - Tabella1_3" description="Connessione alla query 'Tabella1_3' nella cartella di lavoro." type="5" refreshedVersion="0" background="1">
    <dbPr connection="Provider=Microsoft.Mashup.OleDb.1;Data Source=$Workbook$;Location=Tabella1_3;Extended Properties=&quot;&quot;" command="SELECT * FROM [Tabella1_3]"/>
  </connection>
  <connection id="5" xr16:uid="{088BC918-B82A-465C-ACCA-5A742CABDF51}" keepAlive="1" name="Query - Tabella6" description="Connessione alla query 'Tabella6' nella cartella di lavoro." type="5" refreshedVersion="8" background="1" saveData="1">
    <dbPr connection="Provider=Microsoft.Mashup.OleDb.1;Data Source=$Workbook$;Location=Tabella6;Extended Properties=&quot;&quot;" command="SELECT * FROM [Tabella6]"/>
  </connection>
</connections>
</file>

<file path=xl/sharedStrings.xml><?xml version="1.0" encoding="utf-8"?>
<sst xmlns="http://schemas.openxmlformats.org/spreadsheetml/2006/main" count="801" uniqueCount="272">
  <si>
    <t>Indicator</t>
  </si>
  <si>
    <t>HIST_MEAN_config</t>
  </si>
  <si>
    <t>HIST_MEAN_train_time</t>
  </si>
  <si>
    <t>HIST_MEAN_RMSE</t>
  </si>
  <si>
    <t>HIST_MEAN_MAE</t>
  </si>
  <si>
    <t>HIST_MEAN_MAPE</t>
  </si>
  <si>
    <t>HIST_MEAN_R2</t>
  </si>
  <si>
    <t>HIST_MEAN_residual_mean</t>
  </si>
  <si>
    <t>HIST_MEAN_residual_std</t>
  </si>
  <si>
    <t>HIST_MEAN_shapiro_wilk_pvalue</t>
  </si>
  <si>
    <t>HIST_MEAN_ljung_box_pvalue</t>
  </si>
  <si>
    <t>HIST_MEAN_valid</t>
  </si>
  <si>
    <t>NAIVE_LAST_config</t>
  </si>
  <si>
    <t>NAIVE_LAST_RMSE</t>
  </si>
  <si>
    <t>NAIVE_LAST_MAE</t>
  </si>
  <si>
    <t>NAIVE_LAST_MAPE</t>
  </si>
  <si>
    <t>NAIVE_LAST_R2</t>
  </si>
  <si>
    <t>NAIVE_LAST_residual_mean</t>
  </si>
  <si>
    <t>NAIVE_LAST_residual_std</t>
  </si>
  <si>
    <t>NAIVE_LAST_shapiro_wilk_pvalue</t>
  </si>
  <si>
    <t>NAIVE_LAST_ljung_box_pvalue</t>
  </si>
  <si>
    <t>NAIVE_LAST_train_time</t>
  </si>
  <si>
    <t>NAIVE_LAST_valid</t>
  </si>
  <si>
    <t>SEASONAL_config</t>
  </si>
  <si>
    <t>SEASONAL_RMSE</t>
  </si>
  <si>
    <t>SEASONAL_MAE</t>
  </si>
  <si>
    <t>SEASONAL_MAPE</t>
  </si>
  <si>
    <t>SEASONAL_R2</t>
  </si>
  <si>
    <t>SEASONAL_residual_mean</t>
  </si>
  <si>
    <t>SEASONAL_residual_std</t>
  </si>
  <si>
    <t>SEASONAL_shapiro_wilk_pvalue</t>
  </si>
  <si>
    <t>SEASONAL_ljung_box_pvalue</t>
  </si>
  <si>
    <t>SEASONAL_train_time</t>
  </si>
  <si>
    <t>SEASONAL_valid</t>
  </si>
  <si>
    <t>RW_DRIFT_config</t>
  </si>
  <si>
    <t>RW_DRIFT_train_time</t>
  </si>
  <si>
    <t>RW_DRIFT_RMSE</t>
  </si>
  <si>
    <t>RW_DRIFT_MAE</t>
  </si>
  <si>
    <t>RW_DRIFT_MAPE</t>
  </si>
  <si>
    <t>RW_DRIFT_R2</t>
  </si>
  <si>
    <t>RW_DRIFT_residual_mean</t>
  </si>
  <si>
    <t>RW_DRIFT_residual_std</t>
  </si>
  <si>
    <t>RW_DRIFT_shapiro_wilk_pvalue</t>
  </si>
  <si>
    <t>RW_DRIFT_ljung_box_pvalue</t>
  </si>
  <si>
    <t>RW_DRIFT_valid</t>
  </si>
  <si>
    <t>MA_config</t>
  </si>
  <si>
    <t>MA_p</t>
  </si>
  <si>
    <t>MA_d</t>
  </si>
  <si>
    <t>MA_q</t>
  </si>
  <si>
    <t>MA_train_time</t>
  </si>
  <si>
    <t>MA_RMSE</t>
  </si>
  <si>
    <t>MA_MAE</t>
  </si>
  <si>
    <t>MA_MAPE</t>
  </si>
  <si>
    <t>MA_R2</t>
  </si>
  <si>
    <t>MA_residual_mean</t>
  </si>
  <si>
    <t>MA_residual_std</t>
  </si>
  <si>
    <t>MA_shapiro_wilk_pvalue</t>
  </si>
  <si>
    <t>MA_ljung_box_pvalue</t>
  </si>
  <si>
    <t>MA_valid</t>
  </si>
  <si>
    <t>AR_config</t>
  </si>
  <si>
    <t>AR_p</t>
  </si>
  <si>
    <t>AR_d</t>
  </si>
  <si>
    <t>AR_q</t>
  </si>
  <si>
    <t>AR_train_time</t>
  </si>
  <si>
    <t>AR_RMSE</t>
  </si>
  <si>
    <t>AR_MAE</t>
  </si>
  <si>
    <t>AR_MAPE</t>
  </si>
  <si>
    <t>AR_R2</t>
  </si>
  <si>
    <t>AR_residual_mean</t>
  </si>
  <si>
    <t>AR_residual_std</t>
  </si>
  <si>
    <t>AR_shapiro_wilk_pvalue</t>
  </si>
  <si>
    <t>AR_ljung_box_pvalue</t>
  </si>
  <si>
    <t>AR_valid</t>
  </si>
  <si>
    <t>ARIMA_config</t>
  </si>
  <si>
    <t>ARIMA_p</t>
  </si>
  <si>
    <t>ARIMA_d</t>
  </si>
  <si>
    <t>ARIMA_q</t>
  </si>
  <si>
    <t>ARIMA_train_time</t>
  </si>
  <si>
    <t>ARIMA_RMSE</t>
  </si>
  <si>
    <t>ARIMA_MAE</t>
  </si>
  <si>
    <t>ARIMA_MAPE</t>
  </si>
  <si>
    <t>ARIMA_R2</t>
  </si>
  <si>
    <t>ARIMA_residual_mean</t>
  </si>
  <si>
    <t>ARIMA_residual_std</t>
  </si>
  <si>
    <t>ARIMA_shapiro_wilk_pvalue</t>
  </si>
  <si>
    <t>ARIMA_ljung_box_pvalue</t>
  </si>
  <si>
    <t>ARIMA_valid</t>
  </si>
  <si>
    <t>ARIMAX_config</t>
  </si>
  <si>
    <t>ARIMAX_p</t>
  </si>
  <si>
    <t>ARIMAX_d</t>
  </si>
  <si>
    <t>ARIMAX_q</t>
  </si>
  <si>
    <t>ARIMAX_exog</t>
  </si>
  <si>
    <t>ARIMAX_RMSE</t>
  </si>
  <si>
    <t>ARIMAX_MAE</t>
  </si>
  <si>
    <t>ARIMAX_MAPE</t>
  </si>
  <si>
    <t>ARIMAX_R2</t>
  </si>
  <si>
    <t>ARIMAX_residual_mean</t>
  </si>
  <si>
    <t>ARIMAX_residual_std</t>
  </si>
  <si>
    <t>ARIMAX_shapiro_wilk_pvalue</t>
  </si>
  <si>
    <t>ARIMAX_ljung_box_pvalue</t>
  </si>
  <si>
    <t>ARIMAX_valid</t>
  </si>
  <si>
    <t>MLP_config</t>
  </si>
  <si>
    <t>MLP_n_layers</t>
  </si>
  <si>
    <t>MLP_units</t>
  </si>
  <si>
    <t>MLP_activation</t>
  </si>
  <si>
    <t>MLP_learning_rate</t>
  </si>
  <si>
    <t>MLP_batch_size</t>
  </si>
  <si>
    <t>MLP_dropout</t>
  </si>
  <si>
    <t>MLP_n_input_steps</t>
  </si>
  <si>
    <t>MLP_train_time</t>
  </si>
  <si>
    <t>MLP_RMSE</t>
  </si>
  <si>
    <t>MLP_MAE</t>
  </si>
  <si>
    <t>MLP_MAPE</t>
  </si>
  <si>
    <t>MLP_R2</t>
  </si>
  <si>
    <t>MLP_residual_mean</t>
  </si>
  <si>
    <t>MLP_residual_std</t>
  </si>
  <si>
    <t>MLP_shapiro_wilk_pvalue</t>
  </si>
  <si>
    <t>MLP_ljung_box_pvalue</t>
  </si>
  <si>
    <t>MLP_valid</t>
  </si>
  <si>
    <t>CNN_config</t>
  </si>
  <si>
    <t>CNN_n_input_steps</t>
  </si>
  <si>
    <t>CNN_n_conv_layers</t>
  </si>
  <si>
    <t>CNN_filters</t>
  </si>
  <si>
    <t>CNN_kernel_size</t>
  </si>
  <si>
    <t>CNN_dense_units</t>
  </si>
  <si>
    <t>CNN_learning_rate</t>
  </si>
  <si>
    <t>CNN_batch_size</t>
  </si>
  <si>
    <t>CNN_dropout</t>
  </si>
  <si>
    <t>CNN_input_shape</t>
  </si>
  <si>
    <t>CNN_train_time</t>
  </si>
  <si>
    <t>CNN_RMSE</t>
  </si>
  <si>
    <t>CNN_MAE</t>
  </si>
  <si>
    <t>CNN_MAPE</t>
  </si>
  <si>
    <t>CNN_R2</t>
  </si>
  <si>
    <t>CNN_residual_mean</t>
  </si>
  <si>
    <t>CNN_residual_std</t>
  </si>
  <si>
    <t>CNN_shapiro_wilk_pvalue</t>
  </si>
  <si>
    <t>CNN_ljung_box_pvalue</t>
  </si>
  <si>
    <t>CNN_valid</t>
  </si>
  <si>
    <t>population_percent</t>
  </si>
  <si>
    <t>baseline</t>
  </si>
  <si>
    <t>NO</t>
  </si>
  <si>
    <t>order=(0, 2, 1)</t>
  </si>
  <si>
    <t>YES</t>
  </si>
  <si>
    <t>order=(4, 2, 0)</t>
  </si>
  <si>
    <t>p=0_d=2_q=1</t>
  </si>
  <si>
    <t>p=1_d=2_q=0_exog=4</t>
  </si>
  <si>
    <t>['arableland_person', 'imports_percent', 'cerealyield_abs', 'withdrawals_percent']</t>
  </si>
  <si>
    <t>population_growth</t>
  </si>
  <si>
    <t>order=(0, 1, 1)</t>
  </si>
  <si>
    <t>order=(1, 1, 0)</t>
  </si>
  <si>
    <t>p=0_d=1_q=0</t>
  </si>
  <si>
    <t>p=1_d=1_q=0_exog=4</t>
  </si>
  <si>
    <t>['crop_production_index', 'cropland_percent', 'fertilizer_abs', 'valueadded_dollars']</t>
  </si>
  <si>
    <t>population_abs</t>
  </si>
  <si>
    <t>order=(1, 2, 0)</t>
  </si>
  <si>
    <t>p=0_d=2_q=0</t>
  </si>
  <si>
    <t>p=0_d=2_q=6_exog=4</t>
  </si>
  <si>
    <t>['agriland_abs', 'imports_percent', 'cerealyield_abs', 'fertilizer_abs']</t>
  </si>
  <si>
    <t>employment_tot</t>
  </si>
  <si>
    <t>p=0_d=1_q=1</t>
  </si>
  <si>
    <t>p=4_d=1_q=0_exog=4</t>
  </si>
  <si>
    <t>['valueadded_dollars', 'cerealyield_abs', 'forestarea_abs', 'fertilizer_abs']</t>
  </si>
  <si>
    <t>employment_male</t>
  </si>
  <si>
    <t>p=0_d=1_q=1_exog=4</t>
  </si>
  <si>
    <t>['cerealyield_abs', 'valueadded_dollars', 'withdrawals_percent', 'arableland_percent']</t>
  </si>
  <si>
    <t>employment_female</t>
  </si>
  <si>
    <t>order=(0, 1, 2)</t>
  </si>
  <si>
    <t>order=(4, 1, 0)</t>
  </si>
  <si>
    <t>p=1_d=1_q=3</t>
  </si>
  <si>
    <t>p=0_d=1_q=5_exog=4</t>
  </si>
  <si>
    <t>['imports_percent', 'forestarea_abs', 'fertilizer_abs', 'cerealyield_abs']</t>
  </si>
  <si>
    <t>forestarea_percent</t>
  </si>
  <si>
    <t>order=(0, 1, 4)</t>
  </si>
  <si>
    <t>p=3_d=1_q=0</t>
  </si>
  <si>
    <t>['exports_percent', 'fertilizer_abs', 'population_percent', 'cerealyield_abs']</t>
  </si>
  <si>
    <t>forestarea_abs</t>
  </si>
  <si>
    <t>p=4_d=2_q=6_exog=4</t>
  </si>
  <si>
    <t>['fertilizer_abs', 'livestock_production_index', 'exports_percent', 'population_percent']</t>
  </si>
  <si>
    <t>agriland_percent</t>
  </si>
  <si>
    <t>order=(0, 1, 3)</t>
  </si>
  <si>
    <t>order=(3, 1, 0)</t>
  </si>
  <si>
    <t>p=3_d=1_q=3</t>
  </si>
  <si>
    <t>p=2_d=1_q=6_exog=4</t>
  </si>
  <si>
    <t>['cerealyield_abs', 'imports_percent', 'population_percent', 'withdrawals_percent']</t>
  </si>
  <si>
    <t>TPE_orig</t>
  </si>
  <si>
    <t>relu</t>
  </si>
  <si>
    <t>agriland_abs</t>
  </si>
  <si>
    <t>p=2_d=1_q=1</t>
  </si>
  <si>
    <t>p=5_d=1_q=6_exog=4</t>
  </si>
  <si>
    <t>['imports_percent', 'cerealyield_abs', 'population_percent', 'fertilizer_percent']</t>
  </si>
  <si>
    <t>arableland_percent</t>
  </si>
  <si>
    <t>['imports_percent', 'withdrawals_percent', 'population_percent', 'cerealyield_abs']</t>
  </si>
  <si>
    <t>arableland_person</t>
  </si>
  <si>
    <t>p=2_d=1_q=3</t>
  </si>
  <si>
    <t>['imports_percent', 'withdrawals_percent', 'employment_male', 'cerealyield_abs']</t>
  </si>
  <si>
    <t>arableland_abs</t>
  </si>
  <si>
    <t>p=4_d=1_q=6_exog=4</t>
  </si>
  <si>
    <t>cerealland_abs</t>
  </si>
  <si>
    <t>p=1_d=1_q=2</t>
  </si>
  <si>
    <t>p=3_d=1_q=6_exog=4</t>
  </si>
  <si>
    <t>['cerealyield_abs', 'population_percent', 'imports_percent', 'fertilizer_percent']</t>
  </si>
  <si>
    <t>TPE_jitter_aug</t>
  </si>
  <si>
    <t>cropland_percent</t>
  </si>
  <si>
    <t>p=3_d=1_q=2</t>
  </si>
  <si>
    <t>p=5_d=1_q=4_exog=4</t>
  </si>
  <si>
    <t>['cerealyield_abs', 'valueadded_percent', 'employment_tot', 'withdrawals_percent']</t>
  </si>
  <si>
    <t>withdrawals_percent</t>
  </si>
  <si>
    <t>p=0_d=1_q=6_exog=4</t>
  </si>
  <si>
    <t>['exports_percent', 'livestock_production_index', 'arableland_person', 'population_percent']</t>
  </si>
  <si>
    <t>fertilizer_abs</t>
  </si>
  <si>
    <t>['forestarea_abs', 'valueadded_percent', 'employment_female', 'cerealyield_abs']</t>
  </si>
  <si>
    <t>fertilizer_percent</t>
  </si>
  <si>
    <t>['cerealyield_abs', 'imports_percent', 'arableland_abs', 'population_growth']</t>
  </si>
  <si>
    <t>(6, 1)</t>
  </si>
  <si>
    <t>livestock_production_index</t>
  </si>
  <si>
    <t>['exports_percent', 'population_percent', 'fertilizer_abs', 'forestarea_percent']</t>
  </si>
  <si>
    <t>food_production_index</t>
  </si>
  <si>
    <t>['fertilizer_abs', 'population_growth', 'forestarea_percent', 'valueadded_percent']</t>
  </si>
  <si>
    <t>crop_production_index</t>
  </si>
  <si>
    <t>p=1_d=1_q=0</t>
  </si>
  <si>
    <t>['fertilizer_abs', 'population_growth', 'cropland_percent', 'valueadded_percent']</t>
  </si>
  <si>
    <t>cereal_production</t>
  </si>
  <si>
    <t>p=1_d=1_q=6_exog=4</t>
  </si>
  <si>
    <t>['exports_percent', 'fertilizer_percent', 'population_growth', 'forestarea_percent']</t>
  </si>
  <si>
    <t>cerealyield_abs</t>
  </si>
  <si>
    <t>order=(2, 1, 0)</t>
  </si>
  <si>
    <t>['agriland_abs', 'imports_percent', 'employment_tot', 'withdrawals_percent']</t>
  </si>
  <si>
    <t>valueadded_percent</t>
  </si>
  <si>
    <t>['employment_tot', 'crop_production_index', 'forestarea_abs', 'fertilizer_abs']</t>
  </si>
  <si>
    <t>valueadded_dollars</t>
  </si>
  <si>
    <t>p=2_d=1_q=0</t>
  </si>
  <si>
    <t>['employment_male', 'fertilizer_abs', 'cropland_percent', 'cerealyield_abs']</t>
  </si>
  <si>
    <t>exports_percent</t>
  </si>
  <si>
    <t>['forestarea_percent', 'livestock_production_index', 'population_percent', 'withdrawals_percent']</t>
  </si>
  <si>
    <t>imports_percent</t>
  </si>
  <si>
    <t>p=0_d=1_q=3</t>
  </si>
  <si>
    <t>p=5_d=1_q=0_exog=4</t>
  </si>
  <si>
    <t>['livestock_production_index', 'employment_female', 'fertilizer_abs', 'arableland_person']</t>
  </si>
  <si>
    <t>MA, AR, ARIMA</t>
  </si>
  <si>
    <t>Best model</t>
  </si>
  <si>
    <t>ARIMA</t>
  </si>
  <si>
    <t>AR/ARIMA</t>
  </si>
  <si>
    <t>AR-dominant</t>
  </si>
  <si>
    <t>ARIMAX</t>
  </si>
  <si>
    <t>baseline!-ARIMAX?</t>
  </si>
  <si>
    <t>ARIMAX?</t>
  </si>
  <si>
    <t>Conteggio</t>
  </si>
  <si>
    <t>VAR_config</t>
  </si>
  <si>
    <t>VAR_p</t>
  </si>
  <si>
    <t>VAR_partner</t>
  </si>
  <si>
    <t>VAR_RMSE</t>
  </si>
  <si>
    <t>VAR_MAE</t>
  </si>
  <si>
    <t>VAR_MAPE</t>
  </si>
  <si>
    <t>VAR_R2</t>
  </si>
  <si>
    <t>VAR_residual_mean</t>
  </si>
  <si>
    <t>VAR_residual_std</t>
  </si>
  <si>
    <t>VAR_shapiro_wilk_pvalue</t>
  </si>
  <si>
    <t>VAR_ljung_box_pvalue</t>
  </si>
  <si>
    <t>VAR_valid</t>
  </si>
  <si>
    <t>withforestarea_percent_p=1</t>
  </si>
  <si>
    <t>withpopulation_percent_p=1</t>
  </si>
  <si>
    <t>withcropland_percent_p=1</t>
  </si>
  <si>
    <t>withcerealland_abs_p=1</t>
  </si>
  <si>
    <t>witharableland_percent_p=1</t>
  </si>
  <si>
    <t>withagriland_percent_p=1</t>
  </si>
  <si>
    <t>withfertilizer_percent_p=1</t>
  </si>
  <si>
    <t>valueadded_percent_p=1</t>
  </si>
  <si>
    <t>0.4617</t>
  </si>
  <si>
    <t>0.8670</t>
  </si>
  <si>
    <t>0.9195</t>
  </si>
  <si>
    <t>0.5488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</si>
</sst>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7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9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0" fillId="0" borderId="0" xfId="0" applyNumberFormat="1" applyBorder="1" applyAlignment="1">
      <alignment horizontal="center"/>
    </xf>
  </cellXfs>
  <cellStyles count="1">
    <cellStyle name="Normale" xfId="0" builtinId="0"/>
  </cellStyles>
  <dxfs count="6">
    <dxf>
      <fill>
        <patternFill>
          <bgColor rgb="FFFFFF00"/>
        </patternFill>
      </fill>
    </dxf>
    <dxf>
      <fill>
        <patternFill>
          <bgColor rgb="FF00B0F0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0066FF"/>
      <color rgb="FFFF99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E3A9D403-4C54-4F23-80D7-98A1EDA01208}" autoFormatId="16" applyNumberFormats="0" applyBorderFormats="0" applyFontFormats="0" applyPatternFormats="0" applyAlignmentFormats="0" applyWidthHeightFormats="0">
  <queryTableRefresh nextId="3">
    <queryTableFields count="2">
      <queryTableField id="1" name="ARIMAX_exog" tableColumnId="1"/>
      <queryTableField id="2" name="Contegg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C56F60-76B6-4AEE-9C7F-296076FA0818}" name="Tabella6_1" displayName="Tabella6_1" ref="A1:B23" tableType="queryTable" totalsRowShown="0" headerRowDxfId="5" dataDxfId="4">
  <autoFilter ref="A1:B23" xr:uid="{01C56F60-76B6-4AEE-9C7F-296076FA0818}"/>
  <tableColumns count="2">
    <tableColumn id="1" xr3:uid="{9993861D-9935-47A6-B9CC-49280A41F679}" uniqueName="1" name="ARIMAX_exog" queryTableFieldId="1" dataDxfId="3"/>
    <tableColumn id="2" xr3:uid="{0964E07B-54FD-4609-88E1-9F25DF56968D}" uniqueName="2" name="Conteggio" queryTableFieldId="2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30"/>
  <sheetViews>
    <sheetView tabSelected="1" zoomScale="97" workbookViewId="0">
      <pane xSplit="4" ySplit="1" topLeftCell="CZ4" activePane="bottomRight" state="frozen"/>
      <selection pane="topRight" activeCell="D1" sqref="D1"/>
      <selection pane="bottomLeft" activeCell="A2" sqref="A2"/>
      <selection pane="bottomRight" activeCell="DJ27" sqref="DJ27"/>
    </sheetView>
  </sheetViews>
  <sheetFormatPr defaultRowHeight="14.4" x14ac:dyDescent="0.3"/>
  <cols>
    <col min="1" max="1" width="17.5546875" style="4" bestFit="1" customWidth="1"/>
    <col min="2" max="2" width="25.33203125" style="4" bestFit="1" customWidth="1"/>
    <col min="3" max="3" width="18.109375" style="4" hidden="1" customWidth="1"/>
    <col min="4" max="4" width="21.6640625" style="4" hidden="1" customWidth="1"/>
    <col min="5" max="5" width="17.88671875" style="4" bestFit="1" customWidth="1"/>
    <col min="6" max="6" width="16.88671875" style="4" hidden="1" customWidth="1"/>
    <col min="7" max="7" width="18" style="4" bestFit="1" customWidth="1"/>
    <col min="8" max="8" width="14.88671875" style="4" bestFit="1" customWidth="1"/>
    <col min="9" max="9" width="25.5546875" style="4" hidden="1" customWidth="1"/>
    <col min="10" max="10" width="23.21875" style="4" hidden="1" customWidth="1"/>
    <col min="11" max="11" width="30.77734375" style="4" hidden="1" customWidth="1"/>
    <col min="12" max="12" width="28.44140625" style="4" hidden="1" customWidth="1"/>
    <col min="13" max="13" width="16.6640625" style="4" hidden="1" customWidth="1"/>
    <col min="14" max="14" width="18.44140625" style="4" hidden="1" customWidth="1"/>
    <col min="15" max="15" width="18.33203125" style="4" bestFit="1" customWidth="1"/>
    <col min="16" max="16" width="17.21875" style="4" hidden="1" customWidth="1"/>
    <col min="17" max="17" width="18.33203125" style="4" bestFit="1" customWidth="1"/>
    <col min="18" max="18" width="15.109375" style="4" bestFit="1" customWidth="1"/>
    <col min="19" max="19" width="25.88671875" style="4" hidden="1" customWidth="1"/>
    <col min="20" max="20" width="23.5546875" style="4" hidden="1" customWidth="1"/>
    <col min="21" max="21" width="31.109375" style="4" hidden="1" customWidth="1"/>
    <col min="22" max="22" width="28.77734375" style="4" hidden="1" customWidth="1"/>
    <col min="23" max="23" width="22.109375" style="4" hidden="1" customWidth="1"/>
    <col min="24" max="24" width="17.109375" style="4" hidden="1" customWidth="1"/>
    <col min="25" max="25" width="16.88671875" style="4" hidden="1" customWidth="1"/>
    <col min="26" max="26" width="16.6640625" style="4" bestFit="1" customWidth="1"/>
    <col min="27" max="27" width="15.77734375" style="4" hidden="1" customWidth="1"/>
    <col min="28" max="28" width="16.6640625" style="4" bestFit="1" customWidth="1"/>
    <col min="29" max="29" width="13.77734375" style="4" bestFit="1" customWidth="1"/>
    <col min="30" max="30" width="24.44140625" style="4" hidden="1" customWidth="1"/>
    <col min="31" max="31" width="22.109375" style="4" hidden="1" customWidth="1"/>
    <col min="32" max="32" width="29.5546875" style="4" hidden="1" customWidth="1"/>
    <col min="33" max="33" width="27.21875" style="4" hidden="1" customWidth="1"/>
    <col min="34" max="34" width="20.5546875" style="4" hidden="1" customWidth="1"/>
    <col min="35" max="35" width="15.5546875" style="4" hidden="1" customWidth="1"/>
    <col min="36" max="36" width="16.44140625" style="4" hidden="1" customWidth="1"/>
    <col min="37" max="37" width="20.109375" style="4" hidden="1" customWidth="1"/>
    <col min="38" max="38" width="16.33203125" style="4" bestFit="1" customWidth="1"/>
    <col min="39" max="39" width="15.44140625" style="4" hidden="1" customWidth="1"/>
    <col min="40" max="40" width="16.33203125" style="4" bestFit="1" customWidth="1"/>
    <col min="41" max="41" width="13.21875" style="4" bestFit="1" customWidth="1"/>
    <col min="42" max="42" width="24" style="4" hidden="1" customWidth="1"/>
    <col min="43" max="43" width="21.6640625" style="4" hidden="1" customWidth="1"/>
    <col min="44" max="44" width="29.21875" style="4" hidden="1" customWidth="1"/>
    <col min="45" max="45" width="26.88671875" style="4" hidden="1" customWidth="1"/>
    <col min="46" max="46" width="15.21875" style="4" hidden="1" customWidth="1"/>
    <col min="47" max="47" width="12.88671875" style="10" bestFit="1" customWidth="1"/>
    <col min="48" max="50" width="6.109375" style="4" hidden="1" customWidth="1"/>
    <col min="51" max="51" width="13.77734375" style="4" hidden="1" customWidth="1"/>
    <col min="52" max="52" width="12.44140625" style="4" bestFit="1" customWidth="1"/>
    <col min="53" max="53" width="12.44140625" style="4" hidden="1" customWidth="1"/>
    <col min="54" max="54" width="10.109375" style="4" bestFit="1" customWidth="1"/>
    <col min="55" max="55" width="7.6640625" style="4" bestFit="1" customWidth="1"/>
    <col min="56" max="56" width="17.5546875" style="4" hidden="1" customWidth="1"/>
    <col min="57" max="57" width="15.21875" style="4" hidden="1" customWidth="1"/>
    <col min="58" max="58" width="22.5546875" style="4" bestFit="1" customWidth="1"/>
    <col min="59" max="59" width="20.21875" style="4" bestFit="1" customWidth="1"/>
    <col min="60" max="60" width="9" style="7" bestFit="1" customWidth="1"/>
    <col min="61" max="61" width="12.33203125" style="10" bestFit="1" customWidth="1"/>
    <col min="62" max="64" width="5.44140625" style="4" hidden="1" customWidth="1"/>
    <col min="65" max="65" width="13.109375" style="4" hidden="1" customWidth="1"/>
    <col min="66" max="66" width="12" style="4" bestFit="1" customWidth="1"/>
    <col min="67" max="67" width="12" style="4" hidden="1" customWidth="1"/>
    <col min="68" max="68" width="9.44140625" style="4" bestFit="1" customWidth="1"/>
    <col min="69" max="69" width="7.6640625" style="4" bestFit="1" customWidth="1"/>
    <col min="70" max="70" width="16.77734375" style="4" hidden="1" customWidth="1"/>
    <col min="71" max="71" width="14.5546875" style="4" hidden="1" customWidth="1"/>
    <col min="72" max="72" width="21.88671875" style="4" bestFit="1" customWidth="1"/>
    <col min="73" max="73" width="19.5546875" style="4" bestFit="1" customWidth="1"/>
    <col min="74" max="74" width="8.33203125" style="7" bestFit="1" customWidth="1"/>
    <col min="75" max="75" width="13.21875" style="10" bestFit="1" customWidth="1"/>
    <col min="76" max="78" width="9" style="4" bestFit="1" customWidth="1"/>
    <col min="79" max="79" width="16.6640625" style="4" hidden="1" customWidth="1"/>
    <col min="80" max="80" width="12.77734375" style="4" bestFit="1" customWidth="1"/>
    <col min="81" max="81" width="12" style="4" hidden="1" customWidth="1"/>
    <col min="82" max="82" width="13.109375" style="4" bestFit="1" customWidth="1"/>
    <col min="83" max="83" width="10" style="4" bestFit="1" customWidth="1"/>
    <col min="84" max="84" width="20.44140625" style="4" hidden="1" customWidth="1"/>
    <col min="85" max="85" width="18.21875" style="4" hidden="1" customWidth="1"/>
    <col min="86" max="86" width="25.5546875" style="4" bestFit="1" customWidth="1"/>
    <col min="87" max="87" width="23.21875" style="4" bestFit="1" customWidth="1"/>
    <col min="88" max="88" width="11.88671875" style="7" bestFit="1" customWidth="1"/>
    <col min="89" max="89" width="19.109375" style="10" bestFit="1" customWidth="1"/>
    <col min="90" max="90" width="2.77734375" style="4" customWidth="1"/>
    <col min="91" max="91" width="3" style="4" customWidth="1"/>
    <col min="92" max="92" width="2.77734375" style="4" customWidth="1"/>
    <col min="93" max="93" width="11.5546875" style="4" customWidth="1"/>
    <col min="94" max="94" width="14" style="4" bestFit="1" customWidth="1"/>
    <col min="95" max="95" width="13.109375" style="4" hidden="1" customWidth="1"/>
    <col min="96" max="96" width="14.21875" style="4" bestFit="1" customWidth="1"/>
    <col min="97" max="97" width="11.109375" style="4" bestFit="1" customWidth="1"/>
    <col min="98" max="98" width="21.6640625" style="4" hidden="1" customWidth="1"/>
    <col min="99" max="99" width="19.33203125" style="4" hidden="1" customWidth="1"/>
    <col min="100" max="100" width="9.77734375" style="4" customWidth="1"/>
    <col min="101" max="101" width="9.88671875" style="4" customWidth="1"/>
    <col min="102" max="102" width="6.77734375" style="7" customWidth="1"/>
    <col min="103" max="103" width="25.6640625" style="10" hidden="1" customWidth="1"/>
    <col min="104" max="104" width="2.77734375" style="32" customWidth="1"/>
    <col min="105" max="105" width="21" style="32" bestFit="1" customWidth="1"/>
    <col min="106" max="106" width="12.33203125" style="32" bestFit="1" customWidth="1"/>
    <col min="107" max="107" width="12.33203125" style="32" hidden="1" customWidth="1"/>
    <col min="108" max="108" width="11" style="32" bestFit="1" customWidth="1"/>
    <col min="109" max="109" width="8.88671875" style="32"/>
    <col min="110" max="111" width="0" style="32" hidden="1" customWidth="1"/>
    <col min="112" max="112" width="8.33203125" style="32" customWidth="1"/>
    <col min="113" max="113" width="8.88671875" style="32"/>
    <col min="114" max="114" width="4.109375" style="7" customWidth="1"/>
    <col min="115" max="116" width="12.77734375" style="4" bestFit="1" customWidth="1"/>
    <col min="117" max="117" width="9.88671875" style="4" bestFit="1" customWidth="1"/>
    <col min="118" max="118" width="14.21875" style="4" bestFit="1" customWidth="1"/>
    <col min="119" max="119" width="17" style="4" bestFit="1" customWidth="1"/>
    <col min="120" max="120" width="14.6640625" style="4" bestFit="1" customWidth="1"/>
    <col min="121" max="121" width="12.6640625" style="4" bestFit="1" customWidth="1"/>
    <col min="122" max="122" width="17.88671875" style="4" bestFit="1" customWidth="1"/>
    <col min="123" max="123" width="14.5546875" style="4" bestFit="1" customWidth="1"/>
    <col min="124" max="124" width="10.6640625" style="4" bestFit="1" customWidth="1"/>
    <col min="125" max="125" width="9.77734375" style="4" bestFit="1" customWidth="1"/>
    <col min="126" max="126" width="10.88671875" style="4" bestFit="1" customWidth="1"/>
    <col min="127" max="127" width="8.6640625" style="4" bestFit="1" customWidth="1"/>
    <col min="128" max="128" width="18.33203125" style="4" bestFit="1" customWidth="1"/>
    <col min="129" max="129" width="16" style="4" bestFit="1" customWidth="1"/>
    <col min="130" max="130" width="23.33203125" style="4" bestFit="1" customWidth="1"/>
    <col min="131" max="131" width="21" style="4" bestFit="1" customWidth="1"/>
    <col min="132" max="132" width="9.77734375" style="4" bestFit="1" customWidth="1"/>
    <col min="133" max="133" width="12.77734375" style="4" bestFit="1" customWidth="1"/>
    <col min="134" max="134" width="17.88671875" style="4" bestFit="1" customWidth="1"/>
    <col min="135" max="135" width="18.109375" style="4" bestFit="1" customWidth="1"/>
    <col min="136" max="136" width="10.44140625" style="4" bestFit="1" customWidth="1"/>
    <col min="137" max="137" width="15.109375" style="4" bestFit="1" customWidth="1"/>
    <col min="138" max="138" width="16" style="4" bestFit="1" customWidth="1"/>
    <col min="139" max="139" width="17" style="4" bestFit="1" customWidth="1"/>
    <col min="140" max="140" width="14.6640625" style="4" bestFit="1" customWidth="1"/>
    <col min="141" max="141" width="12.6640625" style="4" bestFit="1" customWidth="1"/>
    <col min="142" max="142" width="16.33203125" style="4" bestFit="1" customWidth="1"/>
    <col min="143" max="143" width="14.5546875" style="4" bestFit="1" customWidth="1"/>
    <col min="144" max="144" width="10.6640625" style="4" bestFit="1" customWidth="1"/>
    <col min="145" max="145" width="9.77734375" style="4" bestFit="1" customWidth="1"/>
    <col min="146" max="146" width="10.88671875" style="4" bestFit="1" customWidth="1"/>
    <col min="147" max="147" width="7.88671875" style="4" bestFit="1" customWidth="1"/>
    <col min="148" max="148" width="18.33203125" style="4" bestFit="1" customWidth="1"/>
    <col min="149" max="149" width="16" style="4" bestFit="1" customWidth="1"/>
    <col min="150" max="150" width="23.33203125" style="4" bestFit="1" customWidth="1"/>
    <col min="151" max="151" width="21" style="4" bestFit="1" customWidth="1"/>
    <col min="152" max="152" width="9.77734375" style="4" bestFit="1" customWidth="1"/>
    <col min="153" max="16384" width="8.88671875" style="4"/>
  </cols>
  <sheetData>
    <row r="1" spans="1:152" x14ac:dyDescent="0.3">
      <c r="A1" s="24" t="s">
        <v>240</v>
      </c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4" t="s">
        <v>14</v>
      </c>
      <c r="Q1" s="34" t="s">
        <v>15</v>
      </c>
      <c r="R1" s="34" t="s">
        <v>16</v>
      </c>
      <c r="S1" s="34" t="s">
        <v>17</v>
      </c>
      <c r="T1" s="34" t="s">
        <v>18</v>
      </c>
      <c r="U1" s="34" t="s">
        <v>19</v>
      </c>
      <c r="V1" s="34" t="s">
        <v>20</v>
      </c>
      <c r="W1" s="34" t="s">
        <v>21</v>
      </c>
      <c r="X1" s="34" t="s">
        <v>22</v>
      </c>
      <c r="Y1" s="34" t="s">
        <v>23</v>
      </c>
      <c r="Z1" s="34" t="s">
        <v>24</v>
      </c>
      <c r="AA1" s="34" t="s">
        <v>25</v>
      </c>
      <c r="AB1" s="34" t="s">
        <v>26</v>
      </c>
      <c r="AC1" s="34" t="s">
        <v>27</v>
      </c>
      <c r="AD1" s="34" t="s">
        <v>28</v>
      </c>
      <c r="AE1" s="34" t="s">
        <v>29</v>
      </c>
      <c r="AF1" s="34" t="s">
        <v>30</v>
      </c>
      <c r="AG1" s="34" t="s">
        <v>31</v>
      </c>
      <c r="AH1" s="34" t="s">
        <v>32</v>
      </c>
      <c r="AI1" s="34" t="s">
        <v>33</v>
      </c>
      <c r="AJ1" s="34" t="s">
        <v>34</v>
      </c>
      <c r="AK1" s="34" t="s">
        <v>35</v>
      </c>
      <c r="AL1" s="34" t="s">
        <v>36</v>
      </c>
      <c r="AM1" s="34" t="s">
        <v>37</v>
      </c>
      <c r="AN1" s="34" t="s">
        <v>38</v>
      </c>
      <c r="AO1" s="34" t="s">
        <v>39</v>
      </c>
      <c r="AP1" s="34" t="s">
        <v>40</v>
      </c>
      <c r="AQ1" s="34" t="s">
        <v>41</v>
      </c>
      <c r="AR1" s="34" t="s">
        <v>42</v>
      </c>
      <c r="AS1" s="34" t="s">
        <v>43</v>
      </c>
      <c r="AT1" s="35" t="s">
        <v>44</v>
      </c>
      <c r="AU1" s="36" t="s">
        <v>45</v>
      </c>
      <c r="AV1" s="37" t="s">
        <v>46</v>
      </c>
      <c r="AW1" s="37" t="s">
        <v>47</v>
      </c>
      <c r="AX1" s="37" t="s">
        <v>48</v>
      </c>
      <c r="AY1" s="37" t="s">
        <v>49</v>
      </c>
      <c r="AZ1" s="37" t="s">
        <v>50</v>
      </c>
      <c r="BA1" s="37" t="s">
        <v>51</v>
      </c>
      <c r="BB1" s="37" t="s">
        <v>52</v>
      </c>
      <c r="BC1" s="37" t="s">
        <v>53</v>
      </c>
      <c r="BD1" s="37" t="s">
        <v>54</v>
      </c>
      <c r="BE1" s="37" t="s">
        <v>55</v>
      </c>
      <c r="BF1" s="37" t="s">
        <v>56</v>
      </c>
      <c r="BG1" s="37" t="s">
        <v>57</v>
      </c>
      <c r="BH1" s="38" t="s">
        <v>58</v>
      </c>
      <c r="BI1" s="36" t="s">
        <v>59</v>
      </c>
      <c r="BJ1" s="37" t="s">
        <v>60</v>
      </c>
      <c r="BK1" s="37" t="s">
        <v>61</v>
      </c>
      <c r="BL1" s="37" t="s">
        <v>62</v>
      </c>
      <c r="BM1" s="37" t="s">
        <v>63</v>
      </c>
      <c r="BN1" s="37" t="s">
        <v>64</v>
      </c>
      <c r="BO1" s="37" t="s">
        <v>65</v>
      </c>
      <c r="BP1" s="37" t="s">
        <v>66</v>
      </c>
      <c r="BQ1" s="37" t="s">
        <v>67</v>
      </c>
      <c r="BR1" s="37" t="s">
        <v>68</v>
      </c>
      <c r="BS1" s="37" t="s">
        <v>69</v>
      </c>
      <c r="BT1" s="37" t="s">
        <v>70</v>
      </c>
      <c r="BU1" s="37" t="s">
        <v>71</v>
      </c>
      <c r="BV1" s="38" t="s">
        <v>72</v>
      </c>
      <c r="BW1" s="36" t="s">
        <v>73</v>
      </c>
      <c r="BX1" s="37" t="s">
        <v>74</v>
      </c>
      <c r="BY1" s="37" t="s">
        <v>75</v>
      </c>
      <c r="BZ1" s="37" t="s">
        <v>76</v>
      </c>
      <c r="CA1" s="37" t="s">
        <v>77</v>
      </c>
      <c r="CB1" s="37" t="s">
        <v>78</v>
      </c>
      <c r="CC1" s="37" t="s">
        <v>79</v>
      </c>
      <c r="CD1" s="37" t="s">
        <v>80</v>
      </c>
      <c r="CE1" s="37" t="s">
        <v>81</v>
      </c>
      <c r="CF1" s="37" t="s">
        <v>82</v>
      </c>
      <c r="CG1" s="37" t="s">
        <v>83</v>
      </c>
      <c r="CH1" s="37" t="s">
        <v>84</v>
      </c>
      <c r="CI1" s="37" t="s">
        <v>85</v>
      </c>
      <c r="CJ1" s="38" t="s">
        <v>86</v>
      </c>
      <c r="CK1" s="36" t="s">
        <v>87</v>
      </c>
      <c r="CL1" s="37" t="s">
        <v>88</v>
      </c>
      <c r="CM1" s="37" t="s">
        <v>89</v>
      </c>
      <c r="CN1" s="37" t="s">
        <v>90</v>
      </c>
      <c r="CO1" s="37" t="s">
        <v>91</v>
      </c>
      <c r="CP1" s="37" t="s">
        <v>92</v>
      </c>
      <c r="CQ1" s="37" t="s">
        <v>93</v>
      </c>
      <c r="CR1" s="37" t="s">
        <v>94</v>
      </c>
      <c r="CS1" s="37" t="s">
        <v>95</v>
      </c>
      <c r="CT1" s="37" t="s">
        <v>96</v>
      </c>
      <c r="CU1" s="37" t="s">
        <v>97</v>
      </c>
      <c r="CV1" s="37" t="s">
        <v>98</v>
      </c>
      <c r="CW1" s="37" t="s">
        <v>99</v>
      </c>
      <c r="CX1" s="38" t="s">
        <v>100</v>
      </c>
      <c r="CY1" s="36" t="s">
        <v>248</v>
      </c>
      <c r="CZ1" s="37" t="s">
        <v>249</v>
      </c>
      <c r="DA1" s="37" t="s">
        <v>250</v>
      </c>
      <c r="DB1" s="37" t="s">
        <v>251</v>
      </c>
      <c r="DC1" s="37" t="s">
        <v>252</v>
      </c>
      <c r="DD1" s="37" t="s">
        <v>253</v>
      </c>
      <c r="DE1" s="37" t="s">
        <v>254</v>
      </c>
      <c r="DF1" s="37" t="s">
        <v>255</v>
      </c>
      <c r="DG1" s="37" t="s">
        <v>256</v>
      </c>
      <c r="DH1" s="37" t="s">
        <v>257</v>
      </c>
      <c r="DI1" s="37" t="s">
        <v>258</v>
      </c>
      <c r="DJ1" s="38" t="s">
        <v>259</v>
      </c>
      <c r="DK1" s="39" t="s">
        <v>101</v>
      </c>
      <c r="DL1" s="34" t="s">
        <v>102</v>
      </c>
      <c r="DM1" s="34" t="s">
        <v>103</v>
      </c>
      <c r="DN1" s="34" t="s">
        <v>104</v>
      </c>
      <c r="DO1" s="34" t="s">
        <v>105</v>
      </c>
      <c r="DP1" s="34" t="s">
        <v>106</v>
      </c>
      <c r="DQ1" s="34" t="s">
        <v>107</v>
      </c>
      <c r="DR1" s="34" t="s">
        <v>108</v>
      </c>
      <c r="DS1" s="34" t="s">
        <v>109</v>
      </c>
      <c r="DT1" s="34" t="s">
        <v>110</v>
      </c>
      <c r="DU1" s="34" t="s">
        <v>111</v>
      </c>
      <c r="DV1" s="34" t="s">
        <v>112</v>
      </c>
      <c r="DW1" s="34" t="s">
        <v>113</v>
      </c>
      <c r="DX1" s="34" t="s">
        <v>114</v>
      </c>
      <c r="DY1" s="34" t="s">
        <v>115</v>
      </c>
      <c r="DZ1" s="34" t="s">
        <v>116</v>
      </c>
      <c r="EA1" s="34" t="s">
        <v>117</v>
      </c>
      <c r="EB1" s="34" t="s">
        <v>118</v>
      </c>
      <c r="EC1" s="34" t="s">
        <v>119</v>
      </c>
      <c r="ED1" s="34" t="s">
        <v>120</v>
      </c>
      <c r="EE1" s="34" t="s">
        <v>121</v>
      </c>
      <c r="EF1" s="34" t="s">
        <v>122</v>
      </c>
      <c r="EG1" s="34" t="s">
        <v>123</v>
      </c>
      <c r="EH1" s="34" t="s">
        <v>124</v>
      </c>
      <c r="EI1" s="34" t="s">
        <v>125</v>
      </c>
      <c r="EJ1" s="34" t="s">
        <v>126</v>
      </c>
      <c r="EK1" s="34" t="s">
        <v>127</v>
      </c>
      <c r="EL1" s="34" t="s">
        <v>128</v>
      </c>
      <c r="EM1" s="34" t="s">
        <v>129</v>
      </c>
      <c r="EN1" s="34" t="s">
        <v>130</v>
      </c>
      <c r="EO1" s="34" t="s">
        <v>131</v>
      </c>
      <c r="EP1" s="34" t="s">
        <v>132</v>
      </c>
      <c r="EQ1" s="34" t="s">
        <v>133</v>
      </c>
      <c r="ER1" s="34" t="s">
        <v>134</v>
      </c>
      <c r="ES1" s="34" t="s">
        <v>135</v>
      </c>
      <c r="ET1" s="34" t="s">
        <v>136</v>
      </c>
      <c r="EU1" s="34" t="s">
        <v>137</v>
      </c>
      <c r="EV1" s="34" t="s">
        <v>138</v>
      </c>
    </row>
    <row r="2" spans="1:152" x14ac:dyDescent="0.3">
      <c r="A2" s="4" t="s">
        <v>241</v>
      </c>
      <c r="B2" s="40" t="s">
        <v>139</v>
      </c>
      <c r="C2" s="4" t="s">
        <v>140</v>
      </c>
      <c r="D2" s="4">
        <v>1.1000000000000001E-3</v>
      </c>
      <c r="E2" s="4">
        <v>4.7938999999999998</v>
      </c>
      <c r="F2" s="4">
        <v>4.6612999999999998</v>
      </c>
      <c r="G2" s="4">
        <v>15.95</v>
      </c>
      <c r="H2" s="4">
        <v>-17.327500000000001</v>
      </c>
      <c r="I2" s="4">
        <v>-4.6612499999999999</v>
      </c>
      <c r="J2" s="4">
        <v>1.11978</v>
      </c>
      <c r="K2" s="4">
        <v>0.85628000000000004</v>
      </c>
      <c r="L2" s="4">
        <v>6.3000000000000003E-4</v>
      </c>
      <c r="M2" s="4" t="s">
        <v>141</v>
      </c>
      <c r="N2" s="4" t="s">
        <v>140</v>
      </c>
      <c r="O2" s="4">
        <v>2.3060999999999998</v>
      </c>
      <c r="P2" s="4">
        <v>2.016</v>
      </c>
      <c r="Q2" s="4">
        <v>6.98</v>
      </c>
      <c r="R2" s="4">
        <v>-3.2412999999999998</v>
      </c>
      <c r="S2" s="4">
        <v>-2.016</v>
      </c>
      <c r="T2" s="4">
        <v>1.11978</v>
      </c>
      <c r="U2" s="4">
        <v>0.85628000000000004</v>
      </c>
      <c r="V2" s="4">
        <v>6.3000000000000003E-4</v>
      </c>
      <c r="X2" s="4" t="s">
        <v>141</v>
      </c>
      <c r="Y2" s="4" t="s">
        <v>140</v>
      </c>
      <c r="Z2" s="4">
        <v>2.4171999999999998</v>
      </c>
      <c r="AA2" s="4">
        <v>2.1423999999999999</v>
      </c>
      <c r="AB2" s="4">
        <v>7.41</v>
      </c>
      <c r="AC2" s="4">
        <v>-3.6598999999999999</v>
      </c>
      <c r="AD2" s="4">
        <v>-2.1423800000000002</v>
      </c>
      <c r="AE2" s="4">
        <v>1.1194900000000001</v>
      </c>
      <c r="AF2" s="4">
        <v>0.73973</v>
      </c>
      <c r="AG2" s="4">
        <v>6.9999999999999999E-4</v>
      </c>
      <c r="AI2" s="4" t="s">
        <v>141</v>
      </c>
      <c r="AJ2" s="4" t="s">
        <v>140</v>
      </c>
      <c r="AK2" s="4">
        <v>1.6999999999999999E-3</v>
      </c>
      <c r="AL2" s="4">
        <v>0.8931</v>
      </c>
      <c r="AM2" s="4">
        <v>0.76929999999999998</v>
      </c>
      <c r="AN2" s="4">
        <v>2.67</v>
      </c>
      <c r="AO2" s="4">
        <v>0.3639</v>
      </c>
      <c r="AP2" s="4">
        <v>-0.76931000000000005</v>
      </c>
      <c r="AQ2" s="4">
        <v>0.45361000000000001</v>
      </c>
      <c r="AR2" s="4">
        <v>0.87134999999999996</v>
      </c>
      <c r="AS2" s="4">
        <v>6.8000000000000005E-4</v>
      </c>
      <c r="AT2" s="4" t="s">
        <v>141</v>
      </c>
      <c r="AU2" s="5" t="s">
        <v>142</v>
      </c>
      <c r="AV2" s="4">
        <v>0</v>
      </c>
      <c r="AW2" s="4">
        <v>2</v>
      </c>
      <c r="AX2" s="4">
        <v>1</v>
      </c>
      <c r="AY2" s="4">
        <v>1.3484</v>
      </c>
      <c r="AZ2" s="4">
        <v>3.44E-2</v>
      </c>
      <c r="BA2" s="4">
        <v>1.17E-2</v>
      </c>
      <c r="BB2" s="6">
        <v>0.04</v>
      </c>
      <c r="BC2" s="6">
        <v>0.99909999999999999</v>
      </c>
      <c r="BD2" s="4">
        <v>-1.078E-2</v>
      </c>
      <c r="BE2" s="4">
        <v>3.2689999999999997E-2</v>
      </c>
      <c r="BF2" s="6">
        <v>0</v>
      </c>
      <c r="BG2" s="6">
        <v>0.98243000000000003</v>
      </c>
      <c r="BH2" s="7" t="s">
        <v>143</v>
      </c>
      <c r="BI2" s="5" t="s">
        <v>144</v>
      </c>
      <c r="BJ2" s="4">
        <v>4</v>
      </c>
      <c r="BK2" s="4">
        <v>2</v>
      </c>
      <c r="BL2" s="4">
        <v>0</v>
      </c>
      <c r="BM2" s="4">
        <v>1.6201000000000001</v>
      </c>
      <c r="BN2" s="4">
        <v>3.44E-2</v>
      </c>
      <c r="BO2" s="4">
        <v>1.2E-2</v>
      </c>
      <c r="BP2" s="6">
        <v>0.04</v>
      </c>
      <c r="BQ2" s="4">
        <v>0.99909999999999999</v>
      </c>
      <c r="BR2" s="4">
        <v>-1.06E-2</v>
      </c>
      <c r="BS2" s="4">
        <v>3.2779999999999997E-2</v>
      </c>
      <c r="BT2" s="6">
        <v>0</v>
      </c>
      <c r="BU2" s="6">
        <v>0.97338999999999998</v>
      </c>
      <c r="BV2" s="7" t="s">
        <v>143</v>
      </c>
      <c r="BW2" s="8" t="s">
        <v>145</v>
      </c>
      <c r="BX2" s="9">
        <v>0</v>
      </c>
      <c r="BY2" s="9">
        <v>2</v>
      </c>
      <c r="BZ2" s="9">
        <v>1</v>
      </c>
      <c r="CA2" s="4">
        <v>0.73529999999999995</v>
      </c>
      <c r="CB2" s="4">
        <v>3.44E-2</v>
      </c>
      <c r="CC2" s="4">
        <v>1.17E-2</v>
      </c>
      <c r="CD2" s="6">
        <v>0.04</v>
      </c>
      <c r="CE2" s="4">
        <v>0.99909999999999999</v>
      </c>
      <c r="CF2" s="4">
        <v>-1.078E-2</v>
      </c>
      <c r="CG2" s="4">
        <v>3.2689999999999997E-2</v>
      </c>
      <c r="CH2" s="4">
        <v>0</v>
      </c>
      <c r="CI2" s="4">
        <v>0.98243000000000003</v>
      </c>
      <c r="CJ2" s="7" t="s">
        <v>143</v>
      </c>
      <c r="CK2" s="10" t="s">
        <v>146</v>
      </c>
      <c r="CL2" s="4">
        <v>1</v>
      </c>
      <c r="CM2" s="4">
        <v>2</v>
      </c>
      <c r="CN2" s="4">
        <v>0</v>
      </c>
      <c r="CO2" s="4" t="s">
        <v>147</v>
      </c>
      <c r="CP2" s="4">
        <v>5.6500000000000002E-2</v>
      </c>
      <c r="CQ2" s="4">
        <v>2.4799999999999999E-2</v>
      </c>
      <c r="CR2" s="4">
        <v>0.08</v>
      </c>
      <c r="CS2" s="6">
        <v>0.99629999999999996</v>
      </c>
      <c r="CT2" s="4">
        <v>-1.4019999999999999E-2</v>
      </c>
      <c r="CU2" s="4">
        <v>5.4710000000000002E-2</v>
      </c>
      <c r="CV2" s="4">
        <v>0</v>
      </c>
      <c r="CW2" s="4">
        <v>0.52010999999999996</v>
      </c>
      <c r="CX2" s="7" t="s">
        <v>143</v>
      </c>
      <c r="CY2" s="10" t="s">
        <v>260</v>
      </c>
      <c r="CZ2" s="32">
        <v>1</v>
      </c>
      <c r="DA2" s="32" t="s">
        <v>172</v>
      </c>
      <c r="DB2" s="32">
        <v>2.2599999999999999E-2</v>
      </c>
      <c r="DC2" s="32">
        <v>1.84E-2</v>
      </c>
      <c r="DD2" s="32">
        <v>0.06</v>
      </c>
      <c r="DE2" s="32">
        <v>0.998</v>
      </c>
      <c r="DF2" s="32">
        <v>-1.8360000000000001E-2</v>
      </c>
      <c r="DG2" s="32">
        <v>1.3089999999999999E-2</v>
      </c>
      <c r="DH2" s="32">
        <v>0.76431000000000004</v>
      </c>
      <c r="DI2" s="32">
        <v>9.7500000000000003E-2</v>
      </c>
      <c r="DJ2" s="7" t="s">
        <v>143</v>
      </c>
    </row>
    <row r="3" spans="1:152" ht="13.8" customHeight="1" x14ac:dyDescent="0.3">
      <c r="B3" s="40" t="s">
        <v>148</v>
      </c>
      <c r="C3" s="4" t="s">
        <v>140</v>
      </c>
      <c r="D3" s="4">
        <v>1.2999999999999999E-3</v>
      </c>
      <c r="E3" s="4">
        <v>1.0450999999999999</v>
      </c>
      <c r="F3" s="4">
        <v>0.98939999999999995</v>
      </c>
      <c r="G3" s="4">
        <v>85.67</v>
      </c>
      <c r="H3" s="4">
        <v>-8.6356999999999999</v>
      </c>
      <c r="I3" s="4">
        <v>-0.98941999999999997</v>
      </c>
      <c r="J3" s="4">
        <v>0.33668999999999999</v>
      </c>
      <c r="K3" s="4">
        <v>0.73399999999999999</v>
      </c>
      <c r="L3" s="4">
        <v>0.18679000000000001</v>
      </c>
      <c r="M3" s="4" t="s">
        <v>143</v>
      </c>
      <c r="N3" s="4" t="s">
        <v>140</v>
      </c>
      <c r="O3" s="4">
        <v>1.1609</v>
      </c>
      <c r="P3" s="4">
        <v>1.111</v>
      </c>
      <c r="Q3" s="4">
        <v>97.64</v>
      </c>
      <c r="R3" s="4">
        <v>-10.887600000000001</v>
      </c>
      <c r="S3" s="4">
        <v>-1.1109599999999999</v>
      </c>
      <c r="T3" s="4">
        <v>0.33668999999999999</v>
      </c>
      <c r="U3" s="4">
        <v>0.73399999999999999</v>
      </c>
      <c r="V3" s="4">
        <v>0.18679000000000001</v>
      </c>
      <c r="X3" s="4" t="s">
        <v>143</v>
      </c>
      <c r="Y3" s="4" t="s">
        <v>140</v>
      </c>
      <c r="Z3" s="4">
        <v>1.2736000000000001</v>
      </c>
      <c r="AA3" s="4">
        <v>1.2309000000000001</v>
      </c>
      <c r="AB3" s="4">
        <v>110.74</v>
      </c>
      <c r="AC3" s="4">
        <v>-13.3081</v>
      </c>
      <c r="AD3" s="4">
        <v>-1.2308600000000001</v>
      </c>
      <c r="AE3" s="4">
        <v>0.32706000000000002</v>
      </c>
      <c r="AF3" s="4">
        <v>0.76704000000000006</v>
      </c>
      <c r="AG3" s="4">
        <v>0.17909</v>
      </c>
      <c r="AH3" s="4">
        <v>1.6999999999999999E-3</v>
      </c>
      <c r="AI3" s="4" t="s">
        <v>143</v>
      </c>
      <c r="AJ3" s="4" t="s">
        <v>140</v>
      </c>
      <c r="AK3" s="4">
        <v>7.1999999999999998E-3</v>
      </c>
      <c r="AL3" s="4">
        <v>1.2399</v>
      </c>
      <c r="AM3" s="4">
        <v>1.1856</v>
      </c>
      <c r="AN3" s="4">
        <v>104</v>
      </c>
      <c r="AO3" s="4">
        <v>-12.561999999999999</v>
      </c>
      <c r="AP3" s="4">
        <v>-1.1856100000000001</v>
      </c>
      <c r="AQ3" s="4">
        <v>0.36294999999999999</v>
      </c>
      <c r="AR3" s="4">
        <v>0.93376999999999999</v>
      </c>
      <c r="AS3" s="4">
        <v>0.10388</v>
      </c>
      <c r="AT3" s="4" t="s">
        <v>143</v>
      </c>
      <c r="AU3" s="10" t="s">
        <v>149</v>
      </c>
      <c r="AV3" s="4">
        <v>0</v>
      </c>
      <c r="AW3" s="4">
        <v>1</v>
      </c>
      <c r="AX3" s="4">
        <v>1</v>
      </c>
      <c r="AY3" s="4">
        <v>0.6855</v>
      </c>
      <c r="AZ3" s="4">
        <v>0.3992</v>
      </c>
      <c r="BA3" s="4">
        <v>0.2412</v>
      </c>
      <c r="BB3" s="4">
        <v>23.03</v>
      </c>
      <c r="BC3" s="4">
        <v>-0.40570000000000001</v>
      </c>
      <c r="BD3" s="4">
        <v>-6.0330000000000002E-2</v>
      </c>
      <c r="BE3" s="4">
        <v>0.39460000000000001</v>
      </c>
      <c r="BF3" s="4">
        <v>7.9699999999999997E-3</v>
      </c>
      <c r="BG3" s="4">
        <v>0.14946000000000001</v>
      </c>
      <c r="BH3" s="7" t="s">
        <v>143</v>
      </c>
      <c r="BI3" s="10" t="s">
        <v>150</v>
      </c>
      <c r="BJ3" s="4">
        <v>1</v>
      </c>
      <c r="BK3" s="4">
        <v>1</v>
      </c>
      <c r="BL3" s="4">
        <v>0</v>
      </c>
      <c r="BM3" s="4">
        <v>0.22770000000000001</v>
      </c>
      <c r="BN3" s="4">
        <v>0.37740000000000001</v>
      </c>
      <c r="BO3" s="4">
        <v>0.23830000000000001</v>
      </c>
      <c r="BP3" s="4">
        <v>23.38</v>
      </c>
      <c r="BQ3" s="4">
        <v>-0.25669999999999998</v>
      </c>
      <c r="BR3" s="4">
        <v>-5.7180000000000002E-2</v>
      </c>
      <c r="BS3" s="4">
        <v>0.37308000000000002</v>
      </c>
      <c r="BT3" s="4">
        <v>1.274E-2</v>
      </c>
      <c r="BU3" s="4">
        <v>0.20100999999999999</v>
      </c>
      <c r="BV3" s="7" t="s">
        <v>143</v>
      </c>
      <c r="BW3" s="10" t="s">
        <v>151</v>
      </c>
      <c r="BX3" s="11">
        <v>0</v>
      </c>
      <c r="BY3" s="11">
        <v>1</v>
      </c>
      <c r="BZ3" s="11">
        <v>0</v>
      </c>
      <c r="CA3" s="4">
        <v>0.19589999999999999</v>
      </c>
      <c r="CB3" s="4">
        <v>0.34970000000000001</v>
      </c>
      <c r="CC3" s="4">
        <v>0.24360000000000001</v>
      </c>
      <c r="CD3" s="4">
        <v>25.36</v>
      </c>
      <c r="CE3" s="4">
        <v>-7.8600000000000003E-2</v>
      </c>
      <c r="CF3" s="4">
        <v>-8.7190000000000004E-2</v>
      </c>
      <c r="CG3" s="4">
        <v>0.33862999999999999</v>
      </c>
      <c r="CH3" s="4">
        <v>0.23941000000000001</v>
      </c>
      <c r="CI3" s="4">
        <v>0.42260999999999999</v>
      </c>
      <c r="CJ3" s="7" t="s">
        <v>143</v>
      </c>
      <c r="CK3" s="5" t="s">
        <v>152</v>
      </c>
      <c r="CL3" s="4">
        <v>1</v>
      </c>
      <c r="CM3" s="4">
        <v>1</v>
      </c>
      <c r="CN3" s="4">
        <v>0</v>
      </c>
      <c r="CO3" s="4" t="s">
        <v>153</v>
      </c>
      <c r="CP3" s="4">
        <v>0.43990000000000001</v>
      </c>
      <c r="CQ3" s="4">
        <v>0.27960000000000002</v>
      </c>
      <c r="CR3" s="23">
        <v>22.08</v>
      </c>
      <c r="CS3" s="4">
        <v>-1.0725</v>
      </c>
      <c r="CT3" s="4">
        <v>-6.4899999999999999E-2</v>
      </c>
      <c r="CU3" s="4">
        <v>0.43509999999999999</v>
      </c>
      <c r="CV3" s="4">
        <v>3.9940000000000003E-2</v>
      </c>
      <c r="CW3" s="4">
        <v>0.12726999999999999</v>
      </c>
      <c r="CX3" s="7" t="s">
        <v>143</v>
      </c>
    </row>
    <row r="4" spans="1:152" x14ac:dyDescent="0.3">
      <c r="A4" s="4" t="s">
        <v>239</v>
      </c>
      <c r="B4" s="40" t="s">
        <v>154</v>
      </c>
      <c r="C4" s="4" t="s">
        <v>140</v>
      </c>
      <c r="D4" s="4">
        <v>2E-3</v>
      </c>
      <c r="E4" s="4">
        <v>1620364.5486000001</v>
      </c>
      <c r="F4" s="4">
        <v>1400345.8654</v>
      </c>
      <c r="G4" s="4">
        <v>8.17</v>
      </c>
      <c r="H4" s="4">
        <v>-2.9504999999999999</v>
      </c>
      <c r="I4" s="4">
        <v>-1400345.8653800001</v>
      </c>
      <c r="J4" s="4">
        <v>815237.83505999995</v>
      </c>
      <c r="K4" s="4">
        <v>0.57177</v>
      </c>
      <c r="L4" s="4">
        <v>4.0000000000000002E-4</v>
      </c>
      <c r="M4" s="4" t="s">
        <v>141</v>
      </c>
      <c r="N4" s="4" t="s">
        <v>140</v>
      </c>
      <c r="O4" s="4">
        <v>1525580.2842999999</v>
      </c>
      <c r="P4" s="4">
        <v>1289489.2308</v>
      </c>
      <c r="Q4" s="4">
        <v>7.54</v>
      </c>
      <c r="R4" s="4">
        <v>-2.5019</v>
      </c>
      <c r="S4" s="4">
        <v>-1289489.23077</v>
      </c>
      <c r="T4" s="4">
        <v>815237.83505999995</v>
      </c>
      <c r="U4" s="4">
        <v>0.57177</v>
      </c>
      <c r="V4" s="4">
        <v>4.0000000000000002E-4</v>
      </c>
      <c r="W4" s="4">
        <v>2.3E-3</v>
      </c>
      <c r="X4" s="4" t="s">
        <v>141</v>
      </c>
      <c r="Y4" s="4" t="s">
        <v>140</v>
      </c>
      <c r="Z4" s="4">
        <v>1523806.6185000001</v>
      </c>
      <c r="AA4" s="4">
        <v>1287500.3077</v>
      </c>
      <c r="AB4" s="4">
        <v>7.52</v>
      </c>
      <c r="AC4" s="4">
        <v>-2.4937</v>
      </c>
      <c r="AD4" s="4">
        <v>-1287500.3076899999</v>
      </c>
      <c r="AE4" s="4">
        <v>815064.14982000005</v>
      </c>
      <c r="AF4" s="4">
        <v>0.57118000000000002</v>
      </c>
      <c r="AG4" s="4">
        <v>4.0000000000000002E-4</v>
      </c>
      <c r="AH4" s="4">
        <v>1.8E-3</v>
      </c>
      <c r="AI4" s="4" t="s">
        <v>141</v>
      </c>
      <c r="AJ4" s="4" t="s">
        <v>140</v>
      </c>
      <c r="AK4" s="4">
        <v>1.2999999999999999E-3</v>
      </c>
      <c r="AL4" s="4">
        <v>1299449.6779</v>
      </c>
      <c r="AM4" s="4">
        <v>1089291.1523</v>
      </c>
      <c r="AN4" s="4">
        <v>6.37</v>
      </c>
      <c r="AO4" s="4">
        <v>-1.5407</v>
      </c>
      <c r="AP4" s="4">
        <v>-1089291.15234</v>
      </c>
      <c r="AQ4" s="4">
        <v>708529.64008000004</v>
      </c>
      <c r="AR4" s="4">
        <v>0.52215</v>
      </c>
      <c r="AS4" s="4">
        <v>3.8000000000000002E-4</v>
      </c>
      <c r="AT4" s="4" t="s">
        <v>141</v>
      </c>
      <c r="AU4" s="5" t="s">
        <v>142</v>
      </c>
      <c r="AV4" s="4">
        <v>0</v>
      </c>
      <c r="AW4" s="4">
        <v>2</v>
      </c>
      <c r="AX4" s="4">
        <v>1</v>
      </c>
      <c r="AY4" s="4">
        <v>0.58560000000000001</v>
      </c>
      <c r="AZ4" s="4">
        <v>62611.092299999997</v>
      </c>
      <c r="BA4" s="4">
        <v>43952.193700000003</v>
      </c>
      <c r="BB4" s="6">
        <v>0.25</v>
      </c>
      <c r="BC4" s="6">
        <v>0.99409999999999998</v>
      </c>
      <c r="BD4" s="4">
        <v>-14283.67288</v>
      </c>
      <c r="BE4" s="4">
        <v>60960.032579999999</v>
      </c>
      <c r="BF4" s="6">
        <v>0.29953999999999997</v>
      </c>
      <c r="BG4" s="6">
        <v>0.46184999999999998</v>
      </c>
      <c r="BH4" s="7" t="s">
        <v>143</v>
      </c>
      <c r="BI4" s="5" t="s">
        <v>155</v>
      </c>
      <c r="BJ4" s="4">
        <v>1</v>
      </c>
      <c r="BK4" s="4">
        <v>2</v>
      </c>
      <c r="BL4" s="4">
        <v>0</v>
      </c>
      <c r="BM4" s="4">
        <v>0.34820000000000001</v>
      </c>
      <c r="BN4" s="4">
        <v>62611.202499999999</v>
      </c>
      <c r="BO4" s="4">
        <v>43952.191400000003</v>
      </c>
      <c r="BP4" s="6">
        <v>0.25</v>
      </c>
      <c r="BQ4" s="4">
        <v>0.99409999999999998</v>
      </c>
      <c r="BR4" s="4">
        <v>-14283.5018</v>
      </c>
      <c r="BS4" s="4">
        <v>60960.185859999998</v>
      </c>
      <c r="BT4" s="6">
        <v>0.29952000000000001</v>
      </c>
      <c r="BU4" s="6">
        <v>0.46183000000000002</v>
      </c>
      <c r="BV4" s="7" t="s">
        <v>143</v>
      </c>
      <c r="BW4" s="8" t="s">
        <v>156</v>
      </c>
      <c r="BX4" s="11">
        <v>0</v>
      </c>
      <c r="BY4" s="11">
        <v>2</v>
      </c>
      <c r="BZ4" s="11">
        <v>0</v>
      </c>
      <c r="CA4" s="4">
        <v>6.9900000000000004E-2</v>
      </c>
      <c r="CB4" s="4">
        <v>62609.05</v>
      </c>
      <c r="CC4" s="4">
        <v>43952.384599999998</v>
      </c>
      <c r="CD4" s="6">
        <v>0.25</v>
      </c>
      <c r="CE4" s="4">
        <v>0.99409999999999998</v>
      </c>
      <c r="CF4" s="4">
        <v>-14286.384620000001</v>
      </c>
      <c r="CG4" s="4">
        <v>60957.299440000003</v>
      </c>
      <c r="CH4" s="4">
        <v>0.29984</v>
      </c>
      <c r="CI4" s="4">
        <v>0.46222999999999997</v>
      </c>
      <c r="CJ4" s="7" t="s">
        <v>143</v>
      </c>
      <c r="CK4" s="10" t="s">
        <v>157</v>
      </c>
      <c r="CL4" s="4">
        <v>0</v>
      </c>
      <c r="CM4" s="4">
        <v>2</v>
      </c>
      <c r="CN4" s="4">
        <v>6</v>
      </c>
      <c r="CO4" s="4" t="s">
        <v>158</v>
      </c>
      <c r="CP4" s="4">
        <v>89262.130300000004</v>
      </c>
      <c r="CQ4" s="4">
        <v>64129.463000000003</v>
      </c>
      <c r="CR4" s="4">
        <v>0.35</v>
      </c>
      <c r="CS4" s="6">
        <v>0.98170000000000002</v>
      </c>
      <c r="CT4" s="4">
        <v>-11497.017879999999</v>
      </c>
      <c r="CU4" s="4">
        <v>88518.62225</v>
      </c>
      <c r="CV4" s="4">
        <v>0.51471999999999996</v>
      </c>
      <c r="CW4" s="4">
        <v>0.21603</v>
      </c>
      <c r="CX4" s="7" t="s">
        <v>143</v>
      </c>
    </row>
    <row r="5" spans="1:152" x14ac:dyDescent="0.3">
      <c r="B5" s="40" t="s">
        <v>159</v>
      </c>
      <c r="C5" s="4" t="s">
        <v>140</v>
      </c>
      <c r="D5" s="4">
        <v>8.0000000000000004E-4</v>
      </c>
      <c r="E5" s="4">
        <v>1.1842999999999999</v>
      </c>
      <c r="F5" s="4">
        <v>1.1758</v>
      </c>
      <c r="G5" s="4">
        <v>30.84</v>
      </c>
      <c r="H5" s="4">
        <v>-69.237300000000005</v>
      </c>
      <c r="I5" s="4">
        <v>-1.1758</v>
      </c>
      <c r="J5" s="4">
        <v>0.14130999999999999</v>
      </c>
      <c r="K5" s="4">
        <v>0.85753999999999997</v>
      </c>
      <c r="L5" s="4">
        <v>0.34526000000000001</v>
      </c>
      <c r="M5" s="4" t="s">
        <v>143</v>
      </c>
      <c r="N5" s="4" t="s">
        <v>140</v>
      </c>
      <c r="O5" s="4">
        <v>0.14979999999999999</v>
      </c>
      <c r="P5" s="4">
        <v>0.12640000000000001</v>
      </c>
      <c r="Q5" s="4">
        <v>3.34</v>
      </c>
      <c r="R5" s="4">
        <v>-0.1232</v>
      </c>
      <c r="S5" s="4">
        <v>-4.9599999999999998E-2</v>
      </c>
      <c r="T5" s="4">
        <v>0.14130999999999999</v>
      </c>
      <c r="U5" s="4">
        <v>0.85753999999999997</v>
      </c>
      <c r="V5" s="4">
        <v>0.34526000000000001</v>
      </c>
      <c r="W5" s="4">
        <v>2E-3</v>
      </c>
      <c r="X5" s="4" t="s">
        <v>143</v>
      </c>
      <c r="Y5" s="4" t="s">
        <v>140</v>
      </c>
      <c r="Z5" s="4">
        <v>0.18340000000000001</v>
      </c>
      <c r="AA5" s="4">
        <v>0.13339999999999999</v>
      </c>
      <c r="AB5" s="12">
        <v>3.4</v>
      </c>
      <c r="AC5" s="4">
        <v>-0.6845</v>
      </c>
      <c r="AD5" s="4">
        <v>9.1880000000000003E-2</v>
      </c>
      <c r="AE5" s="4">
        <v>0.15872</v>
      </c>
      <c r="AF5" s="4">
        <v>0.26279999999999998</v>
      </c>
      <c r="AG5" s="4">
        <v>0.70596999999999999</v>
      </c>
      <c r="AH5" s="4">
        <v>4.0000000000000002E-4</v>
      </c>
      <c r="AI5" s="4" t="s">
        <v>143</v>
      </c>
      <c r="AJ5" s="4" t="s">
        <v>140</v>
      </c>
      <c r="AK5" s="4">
        <v>1.6999999999999999E-3</v>
      </c>
      <c r="AL5" s="4">
        <v>0.77280000000000004</v>
      </c>
      <c r="AM5" s="4">
        <v>0.67969999999999997</v>
      </c>
      <c r="AN5" s="4">
        <v>17.68</v>
      </c>
      <c r="AO5" s="4">
        <v>-28.905799999999999</v>
      </c>
      <c r="AP5" s="4">
        <v>0.67974999999999997</v>
      </c>
      <c r="AQ5" s="4">
        <v>0.36754999999999999</v>
      </c>
      <c r="AR5" s="4">
        <v>0.22996</v>
      </c>
      <c r="AS5" s="4">
        <v>4.5030000000000001E-2</v>
      </c>
      <c r="AT5" s="4" t="s">
        <v>141</v>
      </c>
      <c r="AU5" s="10" t="s">
        <v>149</v>
      </c>
      <c r="AV5" s="4">
        <v>0</v>
      </c>
      <c r="AW5" s="4">
        <v>1</v>
      </c>
      <c r="AX5" s="4">
        <v>1</v>
      </c>
      <c r="AY5" s="4">
        <v>0.49880000000000002</v>
      </c>
      <c r="AZ5" s="4">
        <v>0.13469999999999999</v>
      </c>
      <c r="BA5" s="4">
        <v>0.10539999999999999</v>
      </c>
      <c r="BB5" s="4">
        <v>2.77</v>
      </c>
      <c r="BC5" s="4">
        <v>9.0700000000000003E-2</v>
      </c>
      <c r="BD5" s="4">
        <v>-3.5069999999999997E-2</v>
      </c>
      <c r="BE5" s="4">
        <v>0.13011</v>
      </c>
      <c r="BF5" s="4">
        <v>0.22053</v>
      </c>
      <c r="BG5" s="4">
        <v>0.97341</v>
      </c>
      <c r="BH5" s="7" t="s">
        <v>143</v>
      </c>
      <c r="BI5" s="10" t="s">
        <v>150</v>
      </c>
      <c r="BJ5" s="4">
        <v>1</v>
      </c>
      <c r="BK5" s="4">
        <v>1</v>
      </c>
      <c r="BL5" s="4">
        <v>0</v>
      </c>
      <c r="BM5" s="4">
        <v>0.11890000000000001</v>
      </c>
      <c r="BN5" s="4">
        <v>0.14530000000000001</v>
      </c>
      <c r="BO5" s="4">
        <v>0.1056</v>
      </c>
      <c r="BP5" s="4">
        <v>2.78</v>
      </c>
      <c r="BQ5" s="4">
        <v>-5.7200000000000001E-2</v>
      </c>
      <c r="BR5" s="4">
        <v>-4.48E-2</v>
      </c>
      <c r="BS5" s="4">
        <v>0.13821</v>
      </c>
      <c r="BT5" s="4">
        <v>0.52217000000000002</v>
      </c>
      <c r="BU5" s="4">
        <v>0.89676999999999996</v>
      </c>
      <c r="BV5" s="7" t="s">
        <v>143</v>
      </c>
      <c r="BW5" s="13" t="s">
        <v>160</v>
      </c>
      <c r="BX5" s="9">
        <v>0</v>
      </c>
      <c r="BY5" s="9">
        <v>1</v>
      </c>
      <c r="BZ5" s="9">
        <v>1</v>
      </c>
      <c r="CA5" s="4">
        <v>0.2757</v>
      </c>
      <c r="CB5" s="4">
        <v>0.13469999999999999</v>
      </c>
      <c r="CC5" s="4">
        <v>0.10539999999999999</v>
      </c>
      <c r="CD5" s="4">
        <v>2.77</v>
      </c>
      <c r="CE5" s="4">
        <v>9.0700000000000003E-2</v>
      </c>
      <c r="CF5" s="4">
        <v>-3.5069999999999997E-2</v>
      </c>
      <c r="CG5" s="4">
        <v>0.13011</v>
      </c>
      <c r="CH5" s="4">
        <v>0.22053</v>
      </c>
      <c r="CI5" s="4">
        <v>0.97341</v>
      </c>
      <c r="CJ5" s="7" t="s">
        <v>143</v>
      </c>
      <c r="CK5" s="10" t="s">
        <v>161</v>
      </c>
      <c r="CL5" s="4">
        <v>4</v>
      </c>
      <c r="CM5" s="4">
        <v>1</v>
      </c>
      <c r="CN5" s="4">
        <v>0</v>
      </c>
      <c r="CO5" s="4" t="s">
        <v>162</v>
      </c>
      <c r="CP5" s="4">
        <v>0.2253</v>
      </c>
      <c r="CQ5" s="4">
        <v>0.2036</v>
      </c>
      <c r="CR5" s="4">
        <v>5.29</v>
      </c>
      <c r="CS5" s="4">
        <v>-3.9011</v>
      </c>
      <c r="CT5" s="4">
        <v>3.7740000000000003E-2</v>
      </c>
      <c r="CU5" s="4">
        <v>0.22211</v>
      </c>
      <c r="CV5" s="4">
        <v>0.15772</v>
      </c>
      <c r="CW5" s="4">
        <v>0.33506999999999998</v>
      </c>
      <c r="CX5" s="7" t="s">
        <v>143</v>
      </c>
    </row>
    <row r="6" spans="1:152" x14ac:dyDescent="0.3">
      <c r="B6" s="40" t="s">
        <v>163</v>
      </c>
      <c r="C6" s="4" t="s">
        <v>140</v>
      </c>
      <c r="E6" s="4">
        <v>0.63819999999999999</v>
      </c>
      <c r="F6" s="4">
        <v>0.61</v>
      </c>
      <c r="G6" s="4">
        <v>12.61</v>
      </c>
      <c r="H6" s="4">
        <v>-10.5647</v>
      </c>
      <c r="I6" s="4">
        <v>-0.61002999999999996</v>
      </c>
      <c r="J6" s="4">
        <v>0.18768000000000001</v>
      </c>
      <c r="K6" s="4">
        <v>0.85609999999999997</v>
      </c>
      <c r="L6" s="4">
        <v>0.31405</v>
      </c>
      <c r="M6" s="4" t="s">
        <v>143</v>
      </c>
      <c r="N6" s="4" t="s">
        <v>140</v>
      </c>
      <c r="O6" s="4">
        <v>0.19120000000000001</v>
      </c>
      <c r="P6" s="4">
        <v>0.161</v>
      </c>
      <c r="Q6" s="4">
        <v>3.25</v>
      </c>
      <c r="R6" s="4">
        <v>-3.8100000000000002E-2</v>
      </c>
      <c r="S6" s="4">
        <v>3.6639999999999999E-2</v>
      </c>
      <c r="T6" s="4">
        <v>0.18768000000000001</v>
      </c>
      <c r="U6" s="4">
        <v>0.85609999999999997</v>
      </c>
      <c r="V6" s="4">
        <v>0.31405</v>
      </c>
      <c r="W6" s="4">
        <v>1.4E-3</v>
      </c>
      <c r="X6" s="4" t="s">
        <v>143</v>
      </c>
      <c r="Y6" s="4" t="s">
        <v>140</v>
      </c>
      <c r="Z6" s="4">
        <v>0.31359999999999999</v>
      </c>
      <c r="AA6" s="4">
        <v>0.2354</v>
      </c>
      <c r="AB6" s="4">
        <v>4.68</v>
      </c>
      <c r="AC6" s="4">
        <v>-1.7921</v>
      </c>
      <c r="AD6" s="4">
        <v>0.22864999999999999</v>
      </c>
      <c r="AE6" s="4">
        <v>0.21464</v>
      </c>
      <c r="AF6" s="4">
        <v>0.28913</v>
      </c>
      <c r="AG6" s="4">
        <v>0.74951000000000001</v>
      </c>
      <c r="AH6" s="4">
        <v>2.5999999999999999E-3</v>
      </c>
      <c r="AI6" s="4" t="s">
        <v>143</v>
      </c>
      <c r="AJ6" s="4" t="s">
        <v>140</v>
      </c>
      <c r="AK6" s="4">
        <v>1.3599999999999999E-2</v>
      </c>
      <c r="AL6" s="4">
        <v>0.66339999999999999</v>
      </c>
      <c r="AM6" s="4">
        <v>0.58050000000000002</v>
      </c>
      <c r="AN6" s="4">
        <v>11.73</v>
      </c>
      <c r="AO6" s="4">
        <v>-11.4933</v>
      </c>
      <c r="AP6" s="4">
        <v>0.58052000000000004</v>
      </c>
      <c r="AQ6" s="4">
        <v>0.32102000000000003</v>
      </c>
      <c r="AR6" s="4">
        <v>0.32791999999999999</v>
      </c>
      <c r="AS6" s="4">
        <v>5.2319999999999998E-2</v>
      </c>
      <c r="AT6" s="4" t="s">
        <v>143</v>
      </c>
      <c r="AU6" s="10" t="s">
        <v>149</v>
      </c>
      <c r="AV6" s="4">
        <v>0</v>
      </c>
      <c r="AW6" s="4">
        <v>1</v>
      </c>
      <c r="AX6" s="4">
        <v>1</v>
      </c>
      <c r="AY6" s="4">
        <v>0.37280000000000002</v>
      </c>
      <c r="AZ6" s="4">
        <v>0.18779999999999999</v>
      </c>
      <c r="BA6" s="4">
        <v>0.1298</v>
      </c>
      <c r="BB6" s="4">
        <v>2.64</v>
      </c>
      <c r="BC6" s="4">
        <v>-8.9999999999999998E-4</v>
      </c>
      <c r="BD6" s="4">
        <v>-3.1350000000000003E-2</v>
      </c>
      <c r="BE6" s="4">
        <v>0.18512999999999999</v>
      </c>
      <c r="BF6" s="4">
        <v>0.50880000000000003</v>
      </c>
      <c r="BG6" s="4">
        <v>0.59645999999999999</v>
      </c>
      <c r="BH6" s="7" t="s">
        <v>143</v>
      </c>
      <c r="BI6" s="10" t="s">
        <v>150</v>
      </c>
      <c r="BJ6" s="4">
        <v>1</v>
      </c>
      <c r="BK6" s="4">
        <v>1</v>
      </c>
      <c r="BL6" s="4">
        <v>0</v>
      </c>
      <c r="BM6" s="4">
        <v>0.14860000000000001</v>
      </c>
      <c r="BN6" s="4">
        <v>0.19520000000000001</v>
      </c>
      <c r="BO6" s="4">
        <v>0.13469999999999999</v>
      </c>
      <c r="BP6" s="4">
        <v>2.76</v>
      </c>
      <c r="BQ6" s="4">
        <v>-8.1799999999999998E-2</v>
      </c>
      <c r="BR6" s="4">
        <v>-4.7149999999999997E-2</v>
      </c>
      <c r="BS6" s="4">
        <v>0.18942999999999999</v>
      </c>
      <c r="BT6" s="4">
        <v>0.53364</v>
      </c>
      <c r="BU6" s="4">
        <v>0.84118000000000004</v>
      </c>
      <c r="BV6" s="7" t="s">
        <v>143</v>
      </c>
      <c r="BW6" s="13" t="s">
        <v>160</v>
      </c>
      <c r="BX6" s="9">
        <v>0</v>
      </c>
      <c r="BY6" s="9">
        <v>1</v>
      </c>
      <c r="BZ6" s="9">
        <v>1</v>
      </c>
      <c r="CA6" s="4">
        <v>0.21029999999999999</v>
      </c>
      <c r="CB6" s="4">
        <v>0.18779999999999999</v>
      </c>
      <c r="CC6" s="4">
        <v>0.1298</v>
      </c>
      <c r="CD6" s="4">
        <v>2.64</v>
      </c>
      <c r="CE6" s="4">
        <v>-8.9999999999999998E-4</v>
      </c>
      <c r="CF6" s="4">
        <v>-3.1350000000000003E-2</v>
      </c>
      <c r="CG6" s="4">
        <v>0.18512999999999999</v>
      </c>
      <c r="CH6" s="4">
        <v>0.50880000000000003</v>
      </c>
      <c r="CI6" s="4">
        <v>0.59645999999999999</v>
      </c>
      <c r="CJ6" s="7" t="s">
        <v>143</v>
      </c>
      <c r="CK6" s="5" t="s">
        <v>164</v>
      </c>
      <c r="CL6" s="4">
        <v>0</v>
      </c>
      <c r="CM6" s="4">
        <v>1</v>
      </c>
      <c r="CN6" s="4">
        <v>1</v>
      </c>
      <c r="CO6" s="4" t="s">
        <v>165</v>
      </c>
      <c r="CP6" s="4">
        <v>0.13619999999999999</v>
      </c>
      <c r="CQ6" s="4">
        <v>0.112</v>
      </c>
      <c r="CR6" s="4">
        <v>2.29</v>
      </c>
      <c r="CS6" s="4">
        <v>0.38690000000000002</v>
      </c>
      <c r="CT6" s="4">
        <v>4.1500000000000002E-2</v>
      </c>
      <c r="CU6" s="4">
        <v>0.12975999999999999</v>
      </c>
      <c r="CV6" s="4">
        <v>9.64E-2</v>
      </c>
      <c r="CW6" s="4">
        <v>0.42665999999999998</v>
      </c>
      <c r="CX6" s="7" t="s">
        <v>143</v>
      </c>
    </row>
    <row r="7" spans="1:152" x14ac:dyDescent="0.3">
      <c r="B7" s="40" t="s">
        <v>166</v>
      </c>
      <c r="C7" s="4" t="s">
        <v>140</v>
      </c>
      <c r="D7" s="4">
        <v>1.4E-3</v>
      </c>
      <c r="E7" s="4">
        <v>1.8927</v>
      </c>
      <c r="F7" s="4">
        <v>1.8909</v>
      </c>
      <c r="G7" s="4">
        <v>80.349999999999994</v>
      </c>
      <c r="H7" s="4">
        <v>-513.36620000000005</v>
      </c>
      <c r="I7" s="4">
        <v>-1.8909100000000001</v>
      </c>
      <c r="J7" s="4">
        <v>8.3460000000000006E-2</v>
      </c>
      <c r="K7" s="4">
        <v>0.32479999999999998</v>
      </c>
      <c r="L7" s="4">
        <v>0.54722000000000004</v>
      </c>
      <c r="M7" s="4" t="s">
        <v>143</v>
      </c>
      <c r="N7" s="4" t="s">
        <v>140</v>
      </c>
      <c r="O7" s="4">
        <v>0.17780000000000001</v>
      </c>
      <c r="P7" s="4">
        <v>0.157</v>
      </c>
      <c r="Q7" s="4">
        <v>6.79</v>
      </c>
      <c r="R7" s="4">
        <v>-3.5392000000000001</v>
      </c>
      <c r="S7" s="4">
        <v>-0.157</v>
      </c>
      <c r="T7" s="4">
        <v>8.3460000000000006E-2</v>
      </c>
      <c r="U7" s="4">
        <v>0.32479999999999998</v>
      </c>
      <c r="V7" s="4">
        <v>0.54722000000000004</v>
      </c>
      <c r="W7" s="4">
        <v>2E-3</v>
      </c>
      <c r="X7" s="4" t="s">
        <v>143</v>
      </c>
      <c r="Y7" s="4" t="s">
        <v>140</v>
      </c>
      <c r="Z7" s="4">
        <v>0.12570000000000001</v>
      </c>
      <c r="AA7" s="4">
        <v>9.8400000000000001E-2</v>
      </c>
      <c r="AB7" s="4">
        <v>4.28</v>
      </c>
      <c r="AC7" s="4">
        <v>-1.2668999999999999</v>
      </c>
      <c r="AD7" s="4">
        <v>-8.7690000000000004E-2</v>
      </c>
      <c r="AE7" s="4">
        <v>0.09</v>
      </c>
      <c r="AF7" s="4">
        <v>0.67374000000000001</v>
      </c>
      <c r="AG7" s="4">
        <v>0.67303999999999997</v>
      </c>
      <c r="AH7" s="4">
        <v>2E-3</v>
      </c>
      <c r="AI7" s="4" t="s">
        <v>143</v>
      </c>
      <c r="AJ7" s="4" t="s">
        <v>140</v>
      </c>
      <c r="AK7" s="4">
        <v>2E-3</v>
      </c>
      <c r="AL7" s="4">
        <v>0.96760000000000002</v>
      </c>
      <c r="AM7" s="4">
        <v>0.84609999999999996</v>
      </c>
      <c r="AN7" s="4">
        <v>36.14</v>
      </c>
      <c r="AO7" s="4">
        <v>-133.43170000000001</v>
      </c>
      <c r="AP7" s="4">
        <v>0.84614</v>
      </c>
      <c r="AQ7" s="4">
        <v>0.46942</v>
      </c>
      <c r="AR7" s="4">
        <v>0.61358000000000001</v>
      </c>
      <c r="AS7" s="4">
        <v>5.4120000000000001E-2</v>
      </c>
      <c r="AT7" s="4" t="s">
        <v>143</v>
      </c>
      <c r="AU7" s="10" t="s">
        <v>167</v>
      </c>
      <c r="AV7" s="4">
        <v>0</v>
      </c>
      <c r="AW7" s="4">
        <v>1</v>
      </c>
      <c r="AX7" s="4">
        <v>2</v>
      </c>
      <c r="AY7" s="4">
        <v>0.78959999999999997</v>
      </c>
      <c r="AZ7" s="4">
        <v>0.1152</v>
      </c>
      <c r="BA7" s="4">
        <v>9.9699999999999997E-2</v>
      </c>
      <c r="BB7" s="4">
        <v>4.25</v>
      </c>
      <c r="BC7" s="4">
        <v>-0.90580000000000005</v>
      </c>
      <c r="BD7" s="4">
        <v>-4.0719999999999999E-2</v>
      </c>
      <c r="BE7" s="4">
        <v>0.10778</v>
      </c>
      <c r="BF7" s="4">
        <v>0.82149000000000005</v>
      </c>
      <c r="BG7" s="4">
        <v>0.34871999999999997</v>
      </c>
      <c r="BH7" s="7" t="s">
        <v>143</v>
      </c>
      <c r="BI7" s="10" t="s">
        <v>168</v>
      </c>
      <c r="BJ7" s="4">
        <v>4</v>
      </c>
      <c r="BK7" s="4">
        <v>1</v>
      </c>
      <c r="BL7" s="4">
        <v>0</v>
      </c>
      <c r="BM7" s="4">
        <v>0.54910000000000003</v>
      </c>
      <c r="BN7" s="4">
        <v>0.11409999999999999</v>
      </c>
      <c r="BO7" s="4">
        <v>0.10059999999999999</v>
      </c>
      <c r="BP7" s="4">
        <v>4.33</v>
      </c>
      <c r="BQ7" s="4">
        <v>-0.86899999999999999</v>
      </c>
      <c r="BR7" s="4">
        <v>-4.2959999999999998E-2</v>
      </c>
      <c r="BS7" s="4">
        <v>0.10569000000000001</v>
      </c>
      <c r="BT7" s="4">
        <v>0.53549999999999998</v>
      </c>
      <c r="BU7" s="4">
        <v>0.58753</v>
      </c>
      <c r="BV7" s="7" t="s">
        <v>143</v>
      </c>
      <c r="BW7" s="14" t="s">
        <v>169</v>
      </c>
      <c r="BX7" s="15">
        <v>1</v>
      </c>
      <c r="BY7" s="15">
        <v>1</v>
      </c>
      <c r="BZ7" s="15">
        <v>3</v>
      </c>
      <c r="CA7" s="4">
        <v>1.1108</v>
      </c>
      <c r="CB7" s="4">
        <v>0.10249999999999999</v>
      </c>
      <c r="CC7" s="4">
        <v>8.3599999999999994E-2</v>
      </c>
      <c r="CD7" s="4">
        <v>3.63</v>
      </c>
      <c r="CE7" s="4">
        <v>-0.50870000000000004</v>
      </c>
      <c r="CF7" s="4">
        <v>-4.3380000000000002E-2</v>
      </c>
      <c r="CG7" s="4">
        <v>9.2869999999999994E-2</v>
      </c>
      <c r="CH7" s="4">
        <v>0.30843999999999999</v>
      </c>
      <c r="CI7" s="4">
        <v>0.47633999999999999</v>
      </c>
      <c r="CJ7" s="7" t="s">
        <v>143</v>
      </c>
      <c r="CK7" s="10" t="s">
        <v>170</v>
      </c>
      <c r="CL7" s="4">
        <v>0</v>
      </c>
      <c r="CM7" s="4">
        <v>1</v>
      </c>
      <c r="CN7" s="4">
        <v>5</v>
      </c>
      <c r="CO7" s="4" t="s">
        <v>171</v>
      </c>
      <c r="CP7" s="4">
        <v>0.2349</v>
      </c>
      <c r="CQ7" s="4">
        <v>0.18970000000000001</v>
      </c>
      <c r="CR7" s="4">
        <v>7.8</v>
      </c>
      <c r="CS7" s="4">
        <v>-14.074</v>
      </c>
      <c r="CT7" s="4">
        <v>0.18956000000000001</v>
      </c>
      <c r="CU7" s="4">
        <v>0.13877999999999999</v>
      </c>
      <c r="CV7" s="4">
        <v>0.32641999999999999</v>
      </c>
      <c r="CW7" s="4">
        <v>0.43858999999999998</v>
      </c>
      <c r="CX7" s="7" t="s">
        <v>143</v>
      </c>
    </row>
    <row r="8" spans="1:152" x14ac:dyDescent="0.3">
      <c r="A8" s="4" t="s">
        <v>242</v>
      </c>
      <c r="B8" s="40" t="s">
        <v>172</v>
      </c>
      <c r="C8" s="4" t="s">
        <v>140</v>
      </c>
      <c r="E8" s="4">
        <v>3.3816000000000002</v>
      </c>
      <c r="F8" s="4">
        <v>3.3618999999999999</v>
      </c>
      <c r="G8" s="4">
        <v>10.44</v>
      </c>
      <c r="H8" s="4">
        <v>-85.349199999999996</v>
      </c>
      <c r="I8" s="4">
        <v>3.36191</v>
      </c>
      <c r="J8" s="4">
        <v>0.3639</v>
      </c>
      <c r="K8" s="4">
        <v>0.94899</v>
      </c>
      <c r="L8" s="4">
        <v>6.4019999999999994E-2</v>
      </c>
      <c r="M8" s="4" t="s">
        <v>143</v>
      </c>
      <c r="N8" s="4" t="s">
        <v>140</v>
      </c>
      <c r="O8" s="4">
        <v>0.81379999999999997</v>
      </c>
      <c r="P8" s="4">
        <v>0.72789999999999999</v>
      </c>
      <c r="Q8" s="12">
        <v>2.25</v>
      </c>
      <c r="R8" s="4">
        <v>-4.0007000000000001</v>
      </c>
      <c r="S8" s="4">
        <v>0.72787000000000002</v>
      </c>
      <c r="T8" s="4">
        <v>0.3639</v>
      </c>
      <c r="U8" s="4">
        <v>0.94899</v>
      </c>
      <c r="V8" s="4">
        <v>6.4019999999999994E-2</v>
      </c>
      <c r="W8" s="4">
        <v>2.0999999999999999E-3</v>
      </c>
      <c r="X8" s="4" t="s">
        <v>143</v>
      </c>
      <c r="Y8" s="4" t="s">
        <v>140</v>
      </c>
      <c r="Z8" s="4">
        <v>1.0107999999999999</v>
      </c>
      <c r="AA8" s="4">
        <v>0.93579999999999997</v>
      </c>
      <c r="AB8" s="12">
        <v>2.9</v>
      </c>
      <c r="AC8" s="4">
        <v>-6.7152000000000003</v>
      </c>
      <c r="AD8" s="4">
        <v>0.93581999999999999</v>
      </c>
      <c r="AE8" s="4">
        <v>0.38200000000000001</v>
      </c>
      <c r="AF8" s="4">
        <v>8.6169999999999997E-2</v>
      </c>
      <c r="AG8" s="4">
        <v>0.20283000000000001</v>
      </c>
      <c r="AH8" s="4">
        <v>2E-3</v>
      </c>
      <c r="AI8" s="4" t="s">
        <v>143</v>
      </c>
      <c r="AJ8" s="4" t="s">
        <v>140</v>
      </c>
      <c r="AL8" s="4">
        <v>0.19389999999999999</v>
      </c>
      <c r="AM8" s="4">
        <v>0.1734</v>
      </c>
      <c r="AN8" s="12">
        <v>0.54</v>
      </c>
      <c r="AO8" s="4">
        <v>0.71599999999999997</v>
      </c>
      <c r="AP8" s="4">
        <v>-0.17344000000000001</v>
      </c>
      <c r="AQ8" s="4">
        <v>8.6749999999999994E-2</v>
      </c>
      <c r="AR8" s="4">
        <v>0.95050999999999997</v>
      </c>
      <c r="AS8" s="4">
        <v>6.4310000000000006E-2</v>
      </c>
      <c r="AT8" s="4" t="s">
        <v>143</v>
      </c>
      <c r="AU8" s="5" t="s">
        <v>173</v>
      </c>
      <c r="AV8" s="4">
        <v>0</v>
      </c>
      <c r="AW8" s="4">
        <v>1</v>
      </c>
      <c r="AX8" s="4">
        <v>4</v>
      </c>
      <c r="AY8" s="4">
        <v>3.3816999999999999</v>
      </c>
      <c r="AZ8" s="4">
        <v>3.61E-2</v>
      </c>
      <c r="BA8" s="4">
        <v>3.4599999999999999E-2</v>
      </c>
      <c r="BB8" s="6">
        <v>0.11</v>
      </c>
      <c r="BC8" s="6">
        <v>0.99009999999999998</v>
      </c>
      <c r="BD8" s="4">
        <v>3.4630000000000001E-2</v>
      </c>
      <c r="BE8" s="4">
        <v>1.0319999999999999E-2</v>
      </c>
      <c r="BF8" s="6">
        <v>0.50417999999999996</v>
      </c>
      <c r="BG8" s="6">
        <v>0.79923</v>
      </c>
      <c r="BH8" s="7" t="s">
        <v>143</v>
      </c>
      <c r="BI8" s="5" t="s">
        <v>168</v>
      </c>
      <c r="BJ8" s="4">
        <v>4</v>
      </c>
      <c r="BK8" s="4">
        <v>1</v>
      </c>
      <c r="BL8" s="4">
        <v>0</v>
      </c>
      <c r="BM8" s="4">
        <v>1.4636</v>
      </c>
      <c r="BN8" s="4">
        <v>8.9999999999999998E-4</v>
      </c>
      <c r="BO8" s="4">
        <v>8.0000000000000004E-4</v>
      </c>
      <c r="BP8" s="6">
        <v>0</v>
      </c>
      <c r="BQ8" s="4">
        <v>1</v>
      </c>
      <c r="BR8" s="4">
        <v>8.4000000000000003E-4</v>
      </c>
      <c r="BS8" s="4">
        <v>1.7000000000000001E-4</v>
      </c>
      <c r="BT8" s="6">
        <v>5.1549999999999999E-2</v>
      </c>
      <c r="BU8" s="6">
        <v>0.39598</v>
      </c>
      <c r="BV8" s="7" t="s">
        <v>143</v>
      </c>
      <c r="BW8" s="16" t="s">
        <v>174</v>
      </c>
      <c r="BX8" s="17">
        <v>3</v>
      </c>
      <c r="BY8" s="17">
        <v>1</v>
      </c>
      <c r="BZ8" s="17">
        <v>0</v>
      </c>
      <c r="CA8" s="4">
        <v>1.2471000000000001</v>
      </c>
      <c r="CB8" s="4">
        <v>1E-3</v>
      </c>
      <c r="CC8" s="4">
        <v>1E-3</v>
      </c>
      <c r="CD8" s="6">
        <v>0</v>
      </c>
      <c r="CE8" s="4">
        <v>1</v>
      </c>
      <c r="CF8" s="4">
        <v>1.01E-3</v>
      </c>
      <c r="CG8" s="4">
        <v>1.9000000000000001E-4</v>
      </c>
      <c r="CH8" s="4">
        <v>0.11627999999999999</v>
      </c>
      <c r="CI8" s="4">
        <v>0.37389</v>
      </c>
      <c r="CJ8" s="7" t="s">
        <v>143</v>
      </c>
      <c r="CK8" s="10" t="s">
        <v>161</v>
      </c>
      <c r="CL8" s="4">
        <v>4</v>
      </c>
      <c r="CM8" s="4">
        <v>1</v>
      </c>
      <c r="CN8" s="4">
        <v>0</v>
      </c>
      <c r="CO8" s="4" t="s">
        <v>175</v>
      </c>
      <c r="CP8" s="4">
        <v>3.9199999999999999E-2</v>
      </c>
      <c r="CQ8" s="4">
        <v>3.2800000000000003E-2</v>
      </c>
      <c r="CR8" s="4">
        <v>0.1</v>
      </c>
      <c r="CS8" s="6">
        <v>0.98839999999999995</v>
      </c>
      <c r="CT8" s="4">
        <v>-3.2750000000000001E-2</v>
      </c>
      <c r="CU8" s="4">
        <v>2.162E-2</v>
      </c>
      <c r="CV8" s="4">
        <v>0.33230999999999999</v>
      </c>
      <c r="CW8" s="4">
        <v>0.24964</v>
      </c>
      <c r="CX8" s="7" t="s">
        <v>143</v>
      </c>
      <c r="CY8" s="10" t="s">
        <v>261</v>
      </c>
      <c r="CZ8" s="32">
        <v>1</v>
      </c>
      <c r="DA8" s="32" t="s">
        <v>139</v>
      </c>
      <c r="DB8" s="32">
        <v>1.4800000000000001E-2</v>
      </c>
      <c r="DC8" s="32">
        <v>1.38E-2</v>
      </c>
      <c r="DD8" s="32">
        <v>0.04</v>
      </c>
      <c r="DE8" s="32">
        <v>0.99770000000000003</v>
      </c>
      <c r="DF8" s="32">
        <v>-1.3820000000000001E-2</v>
      </c>
      <c r="DG8" s="32">
        <v>5.4200000000000003E-3</v>
      </c>
      <c r="DH8" s="32">
        <v>0.79352</v>
      </c>
      <c r="DI8" s="32">
        <v>0.12745000000000001</v>
      </c>
      <c r="DJ8" s="7" t="s">
        <v>143</v>
      </c>
    </row>
    <row r="9" spans="1:152" ht="15" customHeight="1" x14ac:dyDescent="0.3">
      <c r="A9" s="4" t="s">
        <v>239</v>
      </c>
      <c r="B9" s="40" t="s">
        <v>176</v>
      </c>
      <c r="C9" s="4" t="s">
        <v>140</v>
      </c>
      <c r="D9" s="4">
        <v>2.8999999999999998E-3</v>
      </c>
      <c r="E9" s="4">
        <v>10165.839599999999</v>
      </c>
      <c r="F9" s="4">
        <v>10108.7135</v>
      </c>
      <c r="G9" s="4">
        <v>10.62</v>
      </c>
      <c r="H9" s="4">
        <v>-88.227900000000005</v>
      </c>
      <c r="I9" s="4">
        <v>10108.713460000001</v>
      </c>
      <c r="J9" s="4">
        <v>1076.2</v>
      </c>
      <c r="K9" s="4">
        <v>0.94928999999999997</v>
      </c>
      <c r="L9" s="4">
        <v>6.4079999999999998E-2</v>
      </c>
      <c r="M9" s="4" t="s">
        <v>143</v>
      </c>
      <c r="N9" s="4" t="s">
        <v>140</v>
      </c>
      <c r="O9" s="4">
        <v>2406.4564</v>
      </c>
      <c r="P9" s="4">
        <v>2152.4</v>
      </c>
      <c r="Q9" s="12">
        <v>2.25</v>
      </c>
      <c r="R9" s="4">
        <v>-4</v>
      </c>
      <c r="S9" s="4">
        <v>2152.4</v>
      </c>
      <c r="T9" s="4">
        <v>1076.2</v>
      </c>
      <c r="U9" s="4">
        <v>0.94928999999999997</v>
      </c>
      <c r="V9" s="4">
        <v>6.4079999999999998E-2</v>
      </c>
      <c r="W9" s="4">
        <v>2E-3</v>
      </c>
      <c r="X9" s="4" t="s">
        <v>143</v>
      </c>
      <c r="Y9" s="4" t="s">
        <v>140</v>
      </c>
      <c r="Z9" s="4">
        <v>2989.0796</v>
      </c>
      <c r="AA9" s="4">
        <v>2767.3485999999998</v>
      </c>
      <c r="AB9" s="12">
        <v>2.9</v>
      </c>
      <c r="AC9" s="4">
        <v>-6.7141999999999999</v>
      </c>
      <c r="AD9" s="4">
        <v>2767.3485700000001</v>
      </c>
      <c r="AE9" s="4">
        <v>1129.7694100000001</v>
      </c>
      <c r="AF9" s="4">
        <v>8.6150000000000004E-2</v>
      </c>
      <c r="AG9" s="4">
        <v>0.20300000000000001</v>
      </c>
      <c r="AH9" s="4">
        <v>2E-3</v>
      </c>
      <c r="AI9" s="4" t="s">
        <v>143</v>
      </c>
      <c r="AJ9" s="4" t="s">
        <v>140</v>
      </c>
      <c r="AK9" s="4">
        <v>1.5800000000000002E-2</v>
      </c>
      <c r="AL9" s="4">
        <v>647.70839999999998</v>
      </c>
      <c r="AM9" s="4">
        <v>579.32799999999997</v>
      </c>
      <c r="AN9" s="12">
        <v>0.61</v>
      </c>
      <c r="AO9" s="4">
        <v>0.63780000000000003</v>
      </c>
      <c r="AP9" s="4">
        <v>-579.32799999999997</v>
      </c>
      <c r="AQ9" s="4">
        <v>289.66399999999999</v>
      </c>
      <c r="AR9" s="4">
        <v>0.94928999999999997</v>
      </c>
      <c r="AS9" s="4">
        <v>6.4079999999999998E-2</v>
      </c>
      <c r="AT9" s="4" t="s">
        <v>143</v>
      </c>
      <c r="AU9" s="5" t="s">
        <v>142</v>
      </c>
      <c r="AV9" s="4">
        <v>0</v>
      </c>
      <c r="AW9" s="4">
        <v>2</v>
      </c>
      <c r="AX9" s="4">
        <v>1</v>
      </c>
      <c r="AY9" s="4">
        <v>0.1721</v>
      </c>
      <c r="AZ9" s="4">
        <v>7.6E-3</v>
      </c>
      <c r="BA9" s="4">
        <v>2.8999999999999998E-3</v>
      </c>
      <c r="BB9" s="6">
        <v>0</v>
      </c>
      <c r="BC9" s="6">
        <v>1</v>
      </c>
      <c r="BD9" s="4">
        <v>2.8600000000000001E-3</v>
      </c>
      <c r="BE9" s="4">
        <v>7.0000000000000001E-3</v>
      </c>
      <c r="BF9" s="6">
        <v>0</v>
      </c>
      <c r="BG9" s="6">
        <v>0.9385</v>
      </c>
      <c r="BH9" s="7" t="s">
        <v>143</v>
      </c>
      <c r="BI9" s="5" t="s">
        <v>155</v>
      </c>
      <c r="BJ9" s="4">
        <v>1</v>
      </c>
      <c r="BK9" s="4">
        <v>2</v>
      </c>
      <c r="BL9" s="4">
        <v>0</v>
      </c>
      <c r="BM9" s="4">
        <v>8.0100000000000005E-2</v>
      </c>
      <c r="BN9" s="4">
        <v>7.6E-3</v>
      </c>
      <c r="BO9" s="4">
        <v>2.8999999999999998E-3</v>
      </c>
      <c r="BP9" s="6">
        <v>0</v>
      </c>
      <c r="BQ9" s="4">
        <v>1</v>
      </c>
      <c r="BR9" s="4">
        <v>2.8600000000000001E-3</v>
      </c>
      <c r="BS9" s="4">
        <v>7.0000000000000001E-3</v>
      </c>
      <c r="BT9" s="6">
        <v>0</v>
      </c>
      <c r="BU9" s="6">
        <v>0.93849000000000005</v>
      </c>
      <c r="BV9" s="7" t="s">
        <v>143</v>
      </c>
      <c r="BW9" s="8" t="s">
        <v>156</v>
      </c>
      <c r="BX9" s="11">
        <v>0</v>
      </c>
      <c r="BY9" s="11">
        <v>2</v>
      </c>
      <c r="BZ9" s="11">
        <v>0</v>
      </c>
      <c r="CA9" s="4">
        <v>8.2799999999999999E-2</v>
      </c>
      <c r="CB9" s="4">
        <v>7.6E-3</v>
      </c>
      <c r="CC9" s="4">
        <v>2.8999999999999998E-3</v>
      </c>
      <c r="CD9" s="6">
        <v>0</v>
      </c>
      <c r="CE9" s="4">
        <v>1</v>
      </c>
      <c r="CF9" s="4">
        <v>2.8600000000000001E-3</v>
      </c>
      <c r="CG9" s="4">
        <v>7.0000000000000001E-3</v>
      </c>
      <c r="CH9" s="4">
        <v>0</v>
      </c>
      <c r="CI9" s="4">
        <v>0.9385</v>
      </c>
      <c r="CJ9" s="7" t="s">
        <v>143</v>
      </c>
      <c r="CK9" s="10" t="s">
        <v>177</v>
      </c>
      <c r="CL9" s="4">
        <v>4</v>
      </c>
      <c r="CM9" s="4">
        <v>2</v>
      </c>
      <c r="CN9" s="4">
        <v>6</v>
      </c>
      <c r="CO9" s="4" t="s">
        <v>178</v>
      </c>
      <c r="CP9" s="4">
        <v>23.160399999999999</v>
      </c>
      <c r="CQ9" s="4">
        <v>16.941299999999998</v>
      </c>
      <c r="CR9" s="4">
        <v>0.02</v>
      </c>
      <c r="CS9" s="6">
        <v>0.99950000000000006</v>
      </c>
      <c r="CT9" s="4">
        <v>-1.16296</v>
      </c>
      <c r="CU9" s="4">
        <v>23.131160000000001</v>
      </c>
      <c r="CV9" s="4">
        <v>0.27981</v>
      </c>
      <c r="CW9" s="4">
        <v>0.43586999999999998</v>
      </c>
      <c r="CX9" s="7" t="s">
        <v>143</v>
      </c>
    </row>
    <row r="10" spans="1:152" x14ac:dyDescent="0.3">
      <c r="B10" s="40" t="s">
        <v>179</v>
      </c>
      <c r="C10" s="4" t="s">
        <v>140</v>
      </c>
      <c r="E10" s="4">
        <v>13.9339</v>
      </c>
      <c r="F10" s="4">
        <v>13.7994</v>
      </c>
      <c r="G10" s="4">
        <v>31.31</v>
      </c>
      <c r="H10" s="4">
        <v>-51.070599999999999</v>
      </c>
      <c r="I10" s="4">
        <v>-13.79942</v>
      </c>
      <c r="J10" s="4">
        <v>1.9309700000000001</v>
      </c>
      <c r="K10" s="4">
        <v>0.39346999999999999</v>
      </c>
      <c r="L10" s="4">
        <v>1.068E-2</v>
      </c>
      <c r="M10" s="4" t="s">
        <v>141</v>
      </c>
      <c r="N10" s="4" t="s">
        <v>140</v>
      </c>
      <c r="O10" s="4">
        <v>3.4601999999999999</v>
      </c>
      <c r="P10" s="4">
        <v>3.0508999999999999</v>
      </c>
      <c r="Q10" s="4">
        <v>7.03</v>
      </c>
      <c r="R10" s="4">
        <v>-2.2109999999999999</v>
      </c>
      <c r="S10" s="4">
        <v>-2.8712499999999999</v>
      </c>
      <c r="T10" s="4">
        <v>1.9309700000000001</v>
      </c>
      <c r="U10" s="4">
        <v>0.39346999999999999</v>
      </c>
      <c r="V10" s="4">
        <v>1.068E-2</v>
      </c>
      <c r="W10" s="4">
        <v>2.0999999999999999E-3</v>
      </c>
      <c r="X10" s="4" t="s">
        <v>141</v>
      </c>
      <c r="Y10" s="4" t="s">
        <v>140</v>
      </c>
      <c r="Z10" s="4">
        <v>4.1041999999999996</v>
      </c>
      <c r="AA10" s="4">
        <v>3.6850999999999998</v>
      </c>
      <c r="AB10" s="4">
        <v>8.48</v>
      </c>
      <c r="AC10" s="4">
        <v>-3.5175000000000001</v>
      </c>
      <c r="AD10" s="4">
        <v>-3.5988699999999998</v>
      </c>
      <c r="AE10" s="4">
        <v>1.9729000000000001</v>
      </c>
      <c r="AF10" s="4">
        <v>0.62860000000000005</v>
      </c>
      <c r="AG10" s="4">
        <v>3.5060000000000001E-2</v>
      </c>
      <c r="AH10" s="4">
        <v>2E-3</v>
      </c>
      <c r="AI10" s="4" t="s">
        <v>141</v>
      </c>
      <c r="AJ10" s="4" t="s">
        <v>140</v>
      </c>
      <c r="AK10" s="4">
        <v>2.2000000000000001E-3</v>
      </c>
      <c r="AL10" s="4">
        <v>1.1819</v>
      </c>
      <c r="AM10" s="4">
        <v>0.90149999999999997</v>
      </c>
      <c r="AN10" s="12">
        <v>2.02</v>
      </c>
      <c r="AO10" s="4">
        <v>0.62539999999999996</v>
      </c>
      <c r="AP10" s="4">
        <v>0.48892000000000002</v>
      </c>
      <c r="AQ10" s="4">
        <v>1.07602</v>
      </c>
      <c r="AR10" s="4">
        <v>0.42397000000000001</v>
      </c>
      <c r="AS10" s="4">
        <v>0.83333999999999997</v>
      </c>
      <c r="AT10" s="4" t="s">
        <v>143</v>
      </c>
      <c r="AU10" s="10" t="s">
        <v>180</v>
      </c>
      <c r="AV10" s="4">
        <v>0</v>
      </c>
      <c r="AW10" s="4">
        <v>1</v>
      </c>
      <c r="AX10" s="4">
        <v>3</v>
      </c>
      <c r="AY10" s="4">
        <v>0.96079999999999999</v>
      </c>
      <c r="AZ10" s="4">
        <v>1.3486</v>
      </c>
      <c r="BA10" s="4">
        <v>1.1228</v>
      </c>
      <c r="BB10" s="4">
        <v>2.54</v>
      </c>
      <c r="BC10" s="4">
        <v>0.51229999999999998</v>
      </c>
      <c r="BD10" s="4">
        <v>-0.1988</v>
      </c>
      <c r="BE10" s="4">
        <v>1.3338399999999999</v>
      </c>
      <c r="BF10" s="4">
        <v>0.23630999999999999</v>
      </c>
      <c r="BG10" s="4">
        <v>0.21268000000000001</v>
      </c>
      <c r="BH10" s="7" t="s">
        <v>143</v>
      </c>
      <c r="BI10" s="10" t="s">
        <v>181</v>
      </c>
      <c r="BJ10" s="4">
        <v>3</v>
      </c>
      <c r="BK10" s="4">
        <v>1</v>
      </c>
      <c r="BL10" s="4">
        <v>0</v>
      </c>
      <c r="BM10" s="4">
        <v>0.38600000000000001</v>
      </c>
      <c r="BN10" s="4">
        <v>1.3448</v>
      </c>
      <c r="BO10" s="4">
        <v>1.1174999999999999</v>
      </c>
      <c r="BP10" s="4">
        <v>2.52</v>
      </c>
      <c r="BQ10" s="4">
        <v>0.51490000000000002</v>
      </c>
      <c r="BR10" s="4">
        <v>-0.17738999999999999</v>
      </c>
      <c r="BS10" s="4">
        <v>1.3330900000000001</v>
      </c>
      <c r="BT10" s="4">
        <v>0.25191999999999998</v>
      </c>
      <c r="BU10" s="4">
        <v>0.21557999999999999</v>
      </c>
      <c r="BV10" s="7" t="s">
        <v>143</v>
      </c>
      <c r="BW10" s="14" t="s">
        <v>182</v>
      </c>
      <c r="BX10" s="4">
        <v>3</v>
      </c>
      <c r="BY10" s="4">
        <v>1</v>
      </c>
      <c r="BZ10" s="4">
        <v>3</v>
      </c>
      <c r="CA10" s="4">
        <v>5.3581000000000003</v>
      </c>
      <c r="CB10" s="4">
        <v>1.2881</v>
      </c>
      <c r="CC10" s="4">
        <v>0.95920000000000005</v>
      </c>
      <c r="CD10" s="4">
        <v>2.16</v>
      </c>
      <c r="CE10" s="4">
        <v>0.55500000000000005</v>
      </c>
      <c r="CF10" s="4">
        <v>0.14957999999999999</v>
      </c>
      <c r="CG10" s="4">
        <v>1.2793399999999999</v>
      </c>
      <c r="CH10" s="4">
        <v>0.13930000000000001</v>
      </c>
      <c r="CI10" s="4">
        <v>0.29409000000000002</v>
      </c>
      <c r="CJ10" s="7" t="s">
        <v>143</v>
      </c>
      <c r="CK10" s="10" t="s">
        <v>183</v>
      </c>
      <c r="CL10" s="4">
        <v>2</v>
      </c>
      <c r="CM10" s="4">
        <v>1</v>
      </c>
      <c r="CN10" s="4">
        <v>6</v>
      </c>
      <c r="CO10" s="4" t="s">
        <v>184</v>
      </c>
      <c r="CP10" s="4">
        <v>1.6153</v>
      </c>
      <c r="CQ10" s="4">
        <v>1.1633</v>
      </c>
      <c r="CR10" s="4">
        <v>2.61</v>
      </c>
      <c r="CS10" s="4">
        <v>6.7599999999999993E-2</v>
      </c>
      <c r="CT10" s="4">
        <v>0.5655</v>
      </c>
      <c r="CU10" s="4">
        <v>1.51308</v>
      </c>
      <c r="CV10" s="4">
        <v>0.27917999999999998</v>
      </c>
      <c r="CW10" s="4">
        <v>0.23111000000000001</v>
      </c>
      <c r="CX10" s="7" t="s">
        <v>143</v>
      </c>
      <c r="CY10" s="10" t="s">
        <v>262</v>
      </c>
      <c r="CZ10" s="32">
        <v>1</v>
      </c>
      <c r="DA10" s="32" t="s">
        <v>203</v>
      </c>
      <c r="DB10" s="32">
        <v>1.1024</v>
      </c>
      <c r="DC10" s="32">
        <v>0.9415</v>
      </c>
      <c r="DD10" s="32">
        <v>2.2000000000000002</v>
      </c>
      <c r="DE10" s="32">
        <v>-0.54849999999999999</v>
      </c>
      <c r="DF10" s="32">
        <v>0.51749000000000001</v>
      </c>
      <c r="DG10" s="32">
        <v>0.97340000000000004</v>
      </c>
      <c r="DH10" s="32">
        <v>0.49565999999999999</v>
      </c>
      <c r="DI10" s="32">
        <v>0.61545000000000005</v>
      </c>
      <c r="DJ10" s="7" t="s">
        <v>143</v>
      </c>
      <c r="DK10" s="4" t="s">
        <v>185</v>
      </c>
      <c r="DL10" s="4">
        <v>1</v>
      </c>
      <c r="DM10" s="4">
        <v>43</v>
      </c>
      <c r="DN10" s="4" t="s">
        <v>186</v>
      </c>
      <c r="DO10" s="4">
        <v>1.124861336672479E-4</v>
      </c>
      <c r="DP10" s="4">
        <v>32</v>
      </c>
      <c r="DQ10" s="4">
        <v>0.2</v>
      </c>
      <c r="DR10" s="4">
        <v>3</v>
      </c>
      <c r="DS10" s="4">
        <v>7.3741000000000003</v>
      </c>
      <c r="DT10" s="4">
        <v>7.4943999999999997</v>
      </c>
      <c r="DU10" s="4">
        <v>7.4215999999999998</v>
      </c>
      <c r="DV10" s="4">
        <v>17.36</v>
      </c>
      <c r="DW10" s="4">
        <v>-50.6708</v>
      </c>
      <c r="DX10" s="4">
        <v>-7.42157</v>
      </c>
      <c r="DY10" s="4">
        <v>1.0426</v>
      </c>
      <c r="DZ10" s="4">
        <v>9.9729999999999999E-2</v>
      </c>
      <c r="EA10" s="4">
        <v>0.14069000000000001</v>
      </c>
      <c r="EB10" s="4" t="s">
        <v>143</v>
      </c>
    </row>
    <row r="11" spans="1:152" x14ac:dyDescent="0.3">
      <c r="A11" s="4" t="s">
        <v>243</v>
      </c>
      <c r="B11" s="40" t="s">
        <v>187</v>
      </c>
      <c r="C11" s="4" t="s">
        <v>140</v>
      </c>
      <c r="D11" s="4">
        <v>1.6000000000000001E-3</v>
      </c>
      <c r="E11" s="4">
        <v>40403.521500000003</v>
      </c>
      <c r="F11" s="4">
        <v>39937.410600000003</v>
      </c>
      <c r="G11" s="4">
        <v>30.51</v>
      </c>
      <c r="H11" s="4">
        <v>-42.592599999999997</v>
      </c>
      <c r="I11" s="4">
        <v>-39937.41059</v>
      </c>
      <c r="J11" s="4">
        <v>6119.4594699999998</v>
      </c>
      <c r="K11" s="4">
        <v>0.40353</v>
      </c>
      <c r="L11" s="4">
        <v>2.6700000000000001E-3</v>
      </c>
      <c r="M11" s="4" t="s">
        <v>141</v>
      </c>
      <c r="N11" s="4" t="s">
        <v>140</v>
      </c>
      <c r="O11" s="4">
        <v>13902.936600000001</v>
      </c>
      <c r="P11" s="4">
        <v>12483.743899999999</v>
      </c>
      <c r="Q11" s="4">
        <v>9.68</v>
      </c>
      <c r="R11" s="4">
        <v>-4.1616</v>
      </c>
      <c r="S11" s="4">
        <v>-12483.743920000001</v>
      </c>
      <c r="T11" s="4">
        <v>6119.4594699999998</v>
      </c>
      <c r="U11" s="4">
        <v>0.40353</v>
      </c>
      <c r="V11" s="4">
        <v>2.6700000000000001E-3</v>
      </c>
      <c r="W11" s="4">
        <v>3.3E-3</v>
      </c>
      <c r="X11" s="4" t="s">
        <v>141</v>
      </c>
      <c r="Y11" s="4" t="s">
        <v>140</v>
      </c>
      <c r="Z11" s="4">
        <v>12405.4799</v>
      </c>
      <c r="AA11" s="4">
        <v>10852.8208</v>
      </c>
      <c r="AB11" s="4">
        <v>8.44</v>
      </c>
      <c r="AC11" s="4">
        <v>-3.1095999999999999</v>
      </c>
      <c r="AD11" s="4">
        <v>-10597.743920000001</v>
      </c>
      <c r="AE11" s="4">
        <v>6448.5467200000003</v>
      </c>
      <c r="AF11" s="4">
        <v>0.47073999999999999</v>
      </c>
      <c r="AG11" s="4">
        <v>1.1339999999999999E-2</v>
      </c>
      <c r="AH11" s="4">
        <v>6.7999999999999996E-3</v>
      </c>
      <c r="AI11" s="4" t="s">
        <v>141</v>
      </c>
      <c r="AJ11" s="4" t="s">
        <v>140</v>
      </c>
      <c r="AK11" s="4">
        <v>2E-3</v>
      </c>
      <c r="AL11" s="4">
        <v>4065.7179000000001</v>
      </c>
      <c r="AM11" s="4">
        <v>3605.7247000000002</v>
      </c>
      <c r="AN11" s="4">
        <v>2.78</v>
      </c>
      <c r="AO11" s="4">
        <v>0.55859999999999999</v>
      </c>
      <c r="AP11" s="4">
        <v>-3211.2758399999998</v>
      </c>
      <c r="AQ11" s="4">
        <v>2493.5455000000002</v>
      </c>
      <c r="AR11" s="4">
        <v>0.60838999999999999</v>
      </c>
      <c r="AS11" s="4">
        <v>0.71675</v>
      </c>
      <c r="AT11" s="4" t="s">
        <v>143</v>
      </c>
      <c r="AU11" s="10" t="s">
        <v>149</v>
      </c>
      <c r="AV11" s="4">
        <v>0</v>
      </c>
      <c r="AW11" s="4">
        <v>1</v>
      </c>
      <c r="AX11" s="4">
        <v>1</v>
      </c>
      <c r="AY11" s="4">
        <v>0.84009999999999996</v>
      </c>
      <c r="AZ11" s="4">
        <v>3869.7051999999999</v>
      </c>
      <c r="BA11" s="4">
        <v>3236.5127000000002</v>
      </c>
      <c r="BB11" s="4">
        <v>2.4500000000000002</v>
      </c>
      <c r="BC11" s="4">
        <v>0.60009999999999997</v>
      </c>
      <c r="BD11" s="4">
        <v>-1580.74692</v>
      </c>
      <c r="BE11" s="4">
        <v>3532.1180399999998</v>
      </c>
      <c r="BF11" s="4">
        <v>8.702E-2</v>
      </c>
      <c r="BG11" s="4">
        <v>2.7699999999999999E-2</v>
      </c>
      <c r="BH11" s="7" t="s">
        <v>141</v>
      </c>
      <c r="BI11" s="10" t="s">
        <v>150</v>
      </c>
      <c r="BJ11" s="4">
        <v>1</v>
      </c>
      <c r="BK11" s="4">
        <v>1</v>
      </c>
      <c r="BL11" s="4">
        <v>0</v>
      </c>
      <c r="BM11" s="4">
        <v>0.122</v>
      </c>
      <c r="BN11" s="4">
        <v>3869.712</v>
      </c>
      <c r="BO11" s="4">
        <v>3236.5037000000002</v>
      </c>
      <c r="BP11" s="4">
        <v>2.4500000000000002</v>
      </c>
      <c r="BQ11" s="4">
        <v>0.60009999999999997</v>
      </c>
      <c r="BR11" s="4">
        <v>-1580.7295200000001</v>
      </c>
      <c r="BS11" s="4">
        <v>3532.1332600000001</v>
      </c>
      <c r="BT11" s="4">
        <v>8.7029999999999996E-2</v>
      </c>
      <c r="BU11" s="4">
        <v>2.7689999999999999E-2</v>
      </c>
      <c r="BV11" s="7" t="s">
        <v>141</v>
      </c>
      <c r="BW11" s="18" t="s">
        <v>188</v>
      </c>
      <c r="BX11" s="19">
        <v>2</v>
      </c>
      <c r="BY11" s="19">
        <v>1</v>
      </c>
      <c r="BZ11" s="19">
        <v>1</v>
      </c>
      <c r="CA11" s="4">
        <v>1.7124999999999999</v>
      </c>
      <c r="CB11" s="4">
        <v>3672.5102999999999</v>
      </c>
      <c r="CC11" s="4">
        <v>2919.8651</v>
      </c>
      <c r="CD11" s="4">
        <v>2.21</v>
      </c>
      <c r="CE11" s="4">
        <v>0.63980000000000004</v>
      </c>
      <c r="CF11" s="4">
        <v>-1120.75522</v>
      </c>
      <c r="CG11" s="4">
        <v>3497.3189600000001</v>
      </c>
      <c r="CH11" s="4">
        <v>0.13847999999999999</v>
      </c>
      <c r="CI11" s="4">
        <v>2.3949999999999999E-2</v>
      </c>
      <c r="CJ11" s="7" t="s">
        <v>141</v>
      </c>
      <c r="CK11" s="10" t="s">
        <v>189</v>
      </c>
      <c r="CL11" s="4">
        <v>5</v>
      </c>
      <c r="CM11" s="4">
        <v>1</v>
      </c>
      <c r="CN11" s="4">
        <v>6</v>
      </c>
      <c r="CO11" s="4" t="s">
        <v>190</v>
      </c>
      <c r="CP11" s="4">
        <v>3565.1345000000001</v>
      </c>
      <c r="CQ11" s="4">
        <v>3014.0324000000001</v>
      </c>
      <c r="CR11" s="4">
        <v>2.2999999999999998</v>
      </c>
      <c r="CS11" s="4">
        <v>0.63859999999999995</v>
      </c>
      <c r="CT11" s="4">
        <v>-805.57465000000002</v>
      </c>
      <c r="CU11" s="4">
        <v>3472.9286099999999</v>
      </c>
      <c r="CV11" s="4">
        <v>0.15479000000000001</v>
      </c>
      <c r="CW11" s="4">
        <v>2.1860000000000001E-2</v>
      </c>
      <c r="CX11" s="7" t="s">
        <v>141</v>
      </c>
    </row>
    <row r="12" spans="1:152" x14ac:dyDescent="0.3">
      <c r="B12" s="40" t="s">
        <v>191</v>
      </c>
      <c r="C12" s="4" t="s">
        <v>140</v>
      </c>
      <c r="E12" s="4">
        <v>8.9079999999999995</v>
      </c>
      <c r="F12" s="4">
        <v>8.8817000000000004</v>
      </c>
      <c r="G12" s="4">
        <v>38.229999999999997</v>
      </c>
      <c r="H12" s="4">
        <v>-168.46360000000001</v>
      </c>
      <c r="I12" s="4">
        <v>-8.8816600000000001</v>
      </c>
      <c r="J12" s="4">
        <v>0.68428999999999995</v>
      </c>
      <c r="K12" s="4">
        <v>9.0579999999999994E-2</v>
      </c>
      <c r="L12" s="4">
        <v>9.0179999999999996E-2</v>
      </c>
      <c r="M12" s="4" t="s">
        <v>143</v>
      </c>
      <c r="N12" s="4" t="s">
        <v>140</v>
      </c>
      <c r="O12" s="4">
        <v>0.74890000000000001</v>
      </c>
      <c r="P12" s="4">
        <v>0.68500000000000005</v>
      </c>
      <c r="Q12" s="4">
        <v>2.97</v>
      </c>
      <c r="R12" s="4">
        <v>-0.19769999999999999</v>
      </c>
      <c r="S12" s="4">
        <v>-0.30430000000000001</v>
      </c>
      <c r="T12" s="4">
        <v>0.68428999999999995</v>
      </c>
      <c r="U12" s="4">
        <v>9.0579999999999994E-2</v>
      </c>
      <c r="V12" s="4">
        <v>9.0179999999999996E-2</v>
      </c>
      <c r="W12" s="4">
        <v>3.8999999999999998E-3</v>
      </c>
      <c r="X12" s="4" t="s">
        <v>143</v>
      </c>
      <c r="Y12" s="4" t="s">
        <v>140</v>
      </c>
      <c r="Z12" s="4">
        <v>1.5051000000000001</v>
      </c>
      <c r="AA12" s="4">
        <v>1.2707999999999999</v>
      </c>
      <c r="AB12" s="4">
        <v>5.53</v>
      </c>
      <c r="AC12" s="4">
        <v>-3.8376999999999999</v>
      </c>
      <c r="AD12" s="4">
        <v>-1.08935</v>
      </c>
      <c r="AE12" s="4">
        <v>1.0385500000000001</v>
      </c>
      <c r="AF12" s="4">
        <v>0.41863</v>
      </c>
      <c r="AG12" s="4">
        <v>0.96538000000000002</v>
      </c>
      <c r="AH12" s="4">
        <v>2.5000000000000001E-3</v>
      </c>
      <c r="AI12" s="4" t="s">
        <v>143</v>
      </c>
      <c r="AJ12" s="4" t="s">
        <v>140</v>
      </c>
      <c r="AK12" s="4">
        <v>1.6000000000000001E-3</v>
      </c>
      <c r="AL12" s="4">
        <v>3.2521</v>
      </c>
      <c r="AM12" s="4">
        <v>2.6374</v>
      </c>
      <c r="AN12" s="4">
        <v>11.18</v>
      </c>
      <c r="AO12" s="4">
        <v>-21.585999999999999</v>
      </c>
      <c r="AP12" s="4">
        <v>2.6305999999999998</v>
      </c>
      <c r="AQ12" s="4">
        <v>1.91205</v>
      </c>
      <c r="AR12" s="4">
        <v>0.13278000000000001</v>
      </c>
      <c r="AS12" s="4">
        <v>9.8999999999999999E-4</v>
      </c>
      <c r="AT12" s="4" t="s">
        <v>141</v>
      </c>
      <c r="AU12" s="10" t="s">
        <v>173</v>
      </c>
      <c r="AV12" s="4">
        <v>0</v>
      </c>
      <c r="AW12" s="4">
        <v>1</v>
      </c>
      <c r="AX12" s="4">
        <v>4</v>
      </c>
      <c r="AY12" s="4">
        <v>1.1111</v>
      </c>
      <c r="AZ12" s="4">
        <v>0.67600000000000005</v>
      </c>
      <c r="BA12" s="4">
        <v>0.55459999999999998</v>
      </c>
      <c r="BB12" s="4">
        <v>2.37</v>
      </c>
      <c r="BC12" s="4">
        <v>2.4E-2</v>
      </c>
      <c r="BD12" s="4">
        <v>4.0980000000000003E-2</v>
      </c>
      <c r="BE12" s="4">
        <v>0.67479999999999996</v>
      </c>
      <c r="BF12" s="4">
        <v>0.95726</v>
      </c>
      <c r="BG12" s="4">
        <v>0.29970000000000002</v>
      </c>
      <c r="BH12" s="7" t="s">
        <v>143</v>
      </c>
      <c r="BI12" s="10" t="s">
        <v>168</v>
      </c>
      <c r="BJ12" s="4">
        <v>4</v>
      </c>
      <c r="BK12" s="4">
        <v>1</v>
      </c>
      <c r="BL12" s="4">
        <v>0</v>
      </c>
      <c r="BM12" s="4">
        <v>0.48859999999999998</v>
      </c>
      <c r="BN12" s="4">
        <v>0.67330000000000001</v>
      </c>
      <c r="BO12" s="4">
        <v>0.55269999999999997</v>
      </c>
      <c r="BP12" s="4">
        <v>2.36</v>
      </c>
      <c r="BQ12" s="4">
        <v>3.1899999999999998E-2</v>
      </c>
      <c r="BR12" s="4">
        <v>4.8640000000000003E-2</v>
      </c>
      <c r="BS12" s="4">
        <v>0.67152000000000001</v>
      </c>
      <c r="BT12" s="4">
        <v>0.93623999999999996</v>
      </c>
      <c r="BU12" s="4">
        <v>0.32356000000000001</v>
      </c>
      <c r="BV12" s="7" t="s">
        <v>143</v>
      </c>
      <c r="BW12" s="10" t="s">
        <v>151</v>
      </c>
      <c r="BX12" s="11">
        <v>0</v>
      </c>
      <c r="BY12" s="11">
        <v>1</v>
      </c>
      <c r="BZ12" s="11">
        <v>0</v>
      </c>
      <c r="CA12" s="4">
        <v>0.12529999999999999</v>
      </c>
      <c r="CB12" s="4">
        <v>0.6744</v>
      </c>
      <c r="CC12" s="4">
        <v>0.53010000000000002</v>
      </c>
      <c r="CD12" s="4">
        <v>2.27</v>
      </c>
      <c r="CE12" s="4">
        <v>2.87E-2</v>
      </c>
      <c r="CF12" s="4">
        <v>2.69E-2</v>
      </c>
      <c r="CG12" s="4">
        <v>0.67386999999999997</v>
      </c>
      <c r="CH12" s="4">
        <v>0.94664000000000004</v>
      </c>
      <c r="CI12" s="4">
        <v>0.31461</v>
      </c>
      <c r="CJ12" s="7" t="s">
        <v>143</v>
      </c>
      <c r="CK12" s="10" t="s">
        <v>170</v>
      </c>
      <c r="CL12" s="4">
        <v>0</v>
      </c>
      <c r="CM12" s="4">
        <v>1</v>
      </c>
      <c r="CN12" s="4">
        <v>5</v>
      </c>
      <c r="CO12" s="4" t="s">
        <v>192</v>
      </c>
      <c r="CP12" s="4">
        <v>1.4775</v>
      </c>
      <c r="CQ12" s="4">
        <v>1.0996999999999999</v>
      </c>
      <c r="CR12" s="4">
        <v>4.72</v>
      </c>
      <c r="CS12" s="4">
        <v>-3.5516000000000001</v>
      </c>
      <c r="CT12" s="4">
        <v>0.94640999999999997</v>
      </c>
      <c r="CU12" s="4">
        <v>1.13456</v>
      </c>
      <c r="CV12" s="4">
        <v>0.44568999999999998</v>
      </c>
      <c r="CW12" s="4">
        <v>0.13206000000000001</v>
      </c>
      <c r="CX12" s="7" t="s">
        <v>143</v>
      </c>
      <c r="CY12" s="10" t="s">
        <v>263</v>
      </c>
      <c r="CZ12" s="32">
        <v>1</v>
      </c>
      <c r="DA12" s="32" t="s">
        <v>198</v>
      </c>
      <c r="DB12" s="32">
        <v>3.2896000000000001</v>
      </c>
      <c r="DC12" s="32">
        <v>2.8494999999999999</v>
      </c>
      <c r="DD12" s="32">
        <v>12</v>
      </c>
      <c r="DE12" s="32">
        <v>-19.6998</v>
      </c>
      <c r="DF12" s="32">
        <v>2.84951</v>
      </c>
      <c r="DG12" s="32">
        <v>1.64377</v>
      </c>
      <c r="DH12" s="32">
        <v>0.64910000000000001</v>
      </c>
      <c r="DI12" s="32">
        <v>9.9290000000000003E-2</v>
      </c>
      <c r="DJ12" s="7" t="s">
        <v>143</v>
      </c>
      <c r="DK12" s="4" t="s">
        <v>185</v>
      </c>
      <c r="DL12" s="4">
        <v>1</v>
      </c>
      <c r="DM12" s="4">
        <v>52</v>
      </c>
      <c r="DN12" s="4" t="s">
        <v>186</v>
      </c>
      <c r="DO12" s="4">
        <v>1.123430994125407E-4</v>
      </c>
      <c r="DP12" s="4">
        <v>32</v>
      </c>
      <c r="DQ12" s="4">
        <v>0.2</v>
      </c>
      <c r="DR12" s="4">
        <v>3</v>
      </c>
      <c r="DS12" s="4">
        <v>6.5308999999999999</v>
      </c>
      <c r="DT12" s="4">
        <v>3.2288000000000001</v>
      </c>
      <c r="DU12" s="4">
        <v>3.1696</v>
      </c>
      <c r="DV12" s="4">
        <v>13.42</v>
      </c>
      <c r="DW12" s="4">
        <v>-26.5288</v>
      </c>
      <c r="DX12" s="4">
        <v>-3.16961</v>
      </c>
      <c r="DY12" s="4">
        <v>0.61538000000000004</v>
      </c>
      <c r="DZ12" s="4">
        <v>0.35760999999999998</v>
      </c>
      <c r="EA12" s="4">
        <v>0.33567000000000002</v>
      </c>
      <c r="EB12" s="4" t="s">
        <v>143</v>
      </c>
    </row>
    <row r="13" spans="1:152" x14ac:dyDescent="0.3">
      <c r="A13" s="4" t="s">
        <v>244</v>
      </c>
      <c r="B13" s="40" t="s">
        <v>193</v>
      </c>
      <c r="C13" s="4" t="s">
        <v>140</v>
      </c>
      <c r="D13" s="4">
        <v>1.4E-3</v>
      </c>
      <c r="E13" s="4">
        <v>5.7500000000000002E-2</v>
      </c>
      <c r="F13" s="4">
        <v>5.74E-2</v>
      </c>
      <c r="G13" s="4">
        <v>50.1</v>
      </c>
      <c r="H13" s="4">
        <v>-225.82490000000001</v>
      </c>
      <c r="I13" s="4">
        <v>-5.7360000000000001E-2</v>
      </c>
      <c r="J13" s="4">
        <v>3.82E-3</v>
      </c>
      <c r="K13" s="4">
        <v>0.15326000000000001</v>
      </c>
      <c r="L13" s="4">
        <v>0.15568000000000001</v>
      </c>
      <c r="M13" s="4" t="s">
        <v>143</v>
      </c>
      <c r="N13" s="4" t="s">
        <v>140</v>
      </c>
      <c r="O13" s="4">
        <v>1.24E-2</v>
      </c>
      <c r="P13" s="4">
        <v>1.18E-2</v>
      </c>
      <c r="Q13" s="4">
        <v>10.35</v>
      </c>
      <c r="R13" s="4">
        <v>-9.4774999999999991</v>
      </c>
      <c r="S13" s="4">
        <v>-1.175E-2</v>
      </c>
      <c r="T13" s="4">
        <v>3.82E-3</v>
      </c>
      <c r="U13" s="4">
        <v>0.15326000000000001</v>
      </c>
      <c r="V13" s="4">
        <v>0.15568000000000001</v>
      </c>
      <c r="W13" s="4">
        <v>1.32E-2</v>
      </c>
      <c r="X13" s="4" t="s">
        <v>143</v>
      </c>
      <c r="Y13" s="4" t="s">
        <v>140</v>
      </c>
      <c r="Z13" s="4">
        <v>1.11E-2</v>
      </c>
      <c r="AA13" s="4">
        <v>1.0200000000000001E-2</v>
      </c>
      <c r="AB13" s="4">
        <v>9.01</v>
      </c>
      <c r="AC13" s="4">
        <v>-7.3886000000000003</v>
      </c>
      <c r="AD13" s="4">
        <v>-1.021E-2</v>
      </c>
      <c r="AE13" s="4">
        <v>4.2300000000000003E-3</v>
      </c>
      <c r="AF13" s="4">
        <v>0.15512999999999999</v>
      </c>
      <c r="AG13" s="4">
        <v>0.69967999999999997</v>
      </c>
      <c r="AI13" s="4" t="s">
        <v>143</v>
      </c>
      <c r="AJ13" s="4" t="s">
        <v>140</v>
      </c>
      <c r="AK13" s="4">
        <v>2E-3</v>
      </c>
      <c r="AL13" s="4">
        <v>1.37E-2</v>
      </c>
      <c r="AM13" s="4">
        <v>9.9000000000000008E-3</v>
      </c>
      <c r="AN13" s="4">
        <v>8.42</v>
      </c>
      <c r="AO13" s="4">
        <v>-11.835800000000001</v>
      </c>
      <c r="AP13" s="4">
        <v>7.2899999999999996E-3</v>
      </c>
      <c r="AQ13" s="4">
        <v>1.157E-2</v>
      </c>
      <c r="AR13" s="4">
        <v>0.18328</v>
      </c>
      <c r="AS13" s="4">
        <v>2.4399999999999999E-3</v>
      </c>
      <c r="AT13" s="4" t="s">
        <v>141</v>
      </c>
      <c r="AU13" s="10" t="s">
        <v>173</v>
      </c>
      <c r="AV13" s="4">
        <v>0</v>
      </c>
      <c r="AW13" s="4">
        <v>1</v>
      </c>
      <c r="AX13" s="4">
        <v>4</v>
      </c>
      <c r="AY13" s="4">
        <v>5.8380999999999998</v>
      </c>
      <c r="AZ13" s="4">
        <v>4.3E-3</v>
      </c>
      <c r="BA13" s="4">
        <v>3.3999999999999998E-3</v>
      </c>
      <c r="BB13" s="4">
        <v>2.96</v>
      </c>
      <c r="BC13" s="4">
        <v>-0.27789999999999998</v>
      </c>
      <c r="BD13" s="4">
        <v>-2.2000000000000001E-4</v>
      </c>
      <c r="BE13" s="4">
        <v>4.3099999999999996E-3</v>
      </c>
      <c r="BF13" s="4">
        <v>0.95199</v>
      </c>
      <c r="BG13" s="4">
        <v>0.25397999999999998</v>
      </c>
      <c r="BH13" s="7" t="s">
        <v>143</v>
      </c>
      <c r="BI13" s="10" t="s">
        <v>168</v>
      </c>
      <c r="BJ13" s="4">
        <v>4</v>
      </c>
      <c r="BK13" s="4">
        <v>1</v>
      </c>
      <c r="BL13" s="4">
        <v>0</v>
      </c>
      <c r="BM13" s="4">
        <v>1.5079</v>
      </c>
      <c r="BN13" s="4">
        <v>4.1999999999999997E-3</v>
      </c>
      <c r="BO13" s="4">
        <v>3.3999999999999998E-3</v>
      </c>
      <c r="BP13" s="4">
        <v>2.91</v>
      </c>
      <c r="BQ13" s="4">
        <v>-0.23130000000000001</v>
      </c>
      <c r="BR13" s="4">
        <v>-5.0000000000000002E-5</v>
      </c>
      <c r="BS13" s="4">
        <v>4.2399999999999998E-3</v>
      </c>
      <c r="BT13" s="4">
        <v>0.97933000000000003</v>
      </c>
      <c r="BU13" s="4">
        <v>0.24525</v>
      </c>
      <c r="BV13" s="7" t="s">
        <v>143</v>
      </c>
      <c r="BW13" s="20" t="s">
        <v>194</v>
      </c>
      <c r="BX13" s="15">
        <v>2</v>
      </c>
      <c r="BY13" s="15">
        <v>1</v>
      </c>
      <c r="BZ13" s="15">
        <v>3</v>
      </c>
      <c r="CA13" s="4">
        <v>3.0480999999999998</v>
      </c>
      <c r="CB13" s="4">
        <v>4.1999999999999997E-3</v>
      </c>
      <c r="CC13" s="4">
        <v>3.3999999999999998E-3</v>
      </c>
      <c r="CD13" s="4">
        <v>2.92</v>
      </c>
      <c r="CE13" s="4">
        <v>-0.22589999999999999</v>
      </c>
      <c r="CF13" s="4">
        <v>1.4999999999999999E-4</v>
      </c>
      <c r="CG13" s="4">
        <v>4.2199999999999998E-3</v>
      </c>
      <c r="CH13" s="4">
        <v>0.99222999999999995</v>
      </c>
      <c r="CI13" s="4">
        <v>0.40654000000000001</v>
      </c>
      <c r="CJ13" s="7" t="s">
        <v>143</v>
      </c>
      <c r="CK13" s="5" t="s">
        <v>152</v>
      </c>
      <c r="CL13" s="4">
        <v>1</v>
      </c>
      <c r="CM13" s="4">
        <v>1</v>
      </c>
      <c r="CN13" s="4">
        <v>0</v>
      </c>
      <c r="CO13" s="4" t="s">
        <v>195</v>
      </c>
      <c r="CP13" s="4">
        <v>1.9E-3</v>
      </c>
      <c r="CQ13" s="4">
        <v>1.5E-3</v>
      </c>
      <c r="CR13" s="4">
        <v>1.3</v>
      </c>
      <c r="CS13" s="6">
        <v>0.82609999999999995</v>
      </c>
      <c r="CT13" s="4">
        <v>6.4000000000000005E-4</v>
      </c>
      <c r="CU13" s="4">
        <v>1.7600000000000001E-3</v>
      </c>
      <c r="CV13" s="4">
        <v>0.85475000000000001</v>
      </c>
      <c r="CW13" s="4">
        <v>0.92608000000000001</v>
      </c>
      <c r="CX13" s="7" t="s">
        <v>143</v>
      </c>
    </row>
    <row r="14" spans="1:152" x14ac:dyDescent="0.3">
      <c r="B14" s="40" t="s">
        <v>196</v>
      </c>
      <c r="C14" s="4" t="s">
        <v>140</v>
      </c>
      <c r="D14" s="4">
        <v>2E-3</v>
      </c>
      <c r="E14" s="4">
        <v>2650557.0734000001</v>
      </c>
      <c r="F14" s="4">
        <v>2643260.2692</v>
      </c>
      <c r="G14" s="4">
        <v>38.51</v>
      </c>
      <c r="H14" s="4">
        <v>-180.8749</v>
      </c>
      <c r="I14" s="4">
        <v>-2643260.2692300002</v>
      </c>
      <c r="J14" s="4">
        <v>196539.94146</v>
      </c>
      <c r="K14" s="4">
        <v>0.14727999999999999</v>
      </c>
      <c r="L14" s="4">
        <v>0.24840000000000001</v>
      </c>
      <c r="M14" s="4" t="s">
        <v>143</v>
      </c>
      <c r="N14" s="4" t="s">
        <v>140</v>
      </c>
      <c r="O14" s="4">
        <v>645591.74979999999</v>
      </c>
      <c r="P14" s="4">
        <v>614947.76919999998</v>
      </c>
      <c r="Q14" s="4">
        <v>9.02</v>
      </c>
      <c r="R14" s="4">
        <v>-9.7897999999999996</v>
      </c>
      <c r="S14" s="4">
        <v>-614947.76922999998</v>
      </c>
      <c r="T14" s="4">
        <v>196539.94146</v>
      </c>
      <c r="U14" s="4">
        <v>0.14727999999999999</v>
      </c>
      <c r="V14" s="4">
        <v>0.24840000000000001</v>
      </c>
      <c r="W14" s="4">
        <v>2.5000000000000001E-3</v>
      </c>
      <c r="X14" s="4" t="s">
        <v>143</v>
      </c>
      <c r="Y14" s="4" t="s">
        <v>140</v>
      </c>
      <c r="Z14" s="4">
        <v>524504.08860000002</v>
      </c>
      <c r="AA14" s="4">
        <v>467409.3077</v>
      </c>
      <c r="AB14" s="4">
        <v>6.88</v>
      </c>
      <c r="AC14" s="4">
        <v>-6.1219000000000001</v>
      </c>
      <c r="AD14" s="4">
        <v>-467409.30768999999</v>
      </c>
      <c r="AE14" s="4">
        <v>237977.05371000001</v>
      </c>
      <c r="AF14" s="4">
        <v>5.2350000000000001E-2</v>
      </c>
      <c r="AG14" s="4">
        <v>0.96226</v>
      </c>
      <c r="AH14" s="4">
        <v>2E-3</v>
      </c>
      <c r="AI14" s="4" t="s">
        <v>143</v>
      </c>
      <c r="AJ14" s="4" t="s">
        <v>140</v>
      </c>
      <c r="AK14" s="4">
        <v>1.4E-3</v>
      </c>
      <c r="AL14" s="4">
        <v>529197.96889999998</v>
      </c>
      <c r="AM14" s="4">
        <v>391628.33549999999</v>
      </c>
      <c r="AN14" s="4">
        <v>5.6</v>
      </c>
      <c r="AO14" s="4">
        <v>-6.2499000000000002</v>
      </c>
      <c r="AP14" s="4">
        <v>183945.84779</v>
      </c>
      <c r="AQ14" s="4">
        <v>496199.97516999999</v>
      </c>
      <c r="AR14" s="4">
        <v>0.1575</v>
      </c>
      <c r="AS14" s="4">
        <v>4.64E-3</v>
      </c>
      <c r="AT14" s="4" t="s">
        <v>141</v>
      </c>
      <c r="AU14" s="10" t="s">
        <v>149</v>
      </c>
      <c r="AV14" s="4">
        <v>0</v>
      </c>
      <c r="AW14" s="4">
        <v>1</v>
      </c>
      <c r="AX14" s="4">
        <v>1</v>
      </c>
      <c r="AY14" s="4">
        <v>0.3599</v>
      </c>
      <c r="AZ14" s="4">
        <v>243931.53839999999</v>
      </c>
      <c r="BA14" s="4">
        <v>188312.1992</v>
      </c>
      <c r="BB14" s="4">
        <v>2.72</v>
      </c>
      <c r="BC14" s="4">
        <v>-0.54039999999999999</v>
      </c>
      <c r="BD14" s="4">
        <v>-23478.003069999999</v>
      </c>
      <c r="BE14" s="4">
        <v>242799.0502</v>
      </c>
      <c r="BF14" s="4">
        <v>0.98765999999999998</v>
      </c>
      <c r="BG14" s="4">
        <v>0.19020999999999999</v>
      </c>
      <c r="BH14" s="7" t="s">
        <v>143</v>
      </c>
      <c r="BI14" s="10" t="s">
        <v>150</v>
      </c>
      <c r="BJ14" s="4">
        <v>1</v>
      </c>
      <c r="BK14" s="4">
        <v>1</v>
      </c>
      <c r="BL14" s="4">
        <v>0</v>
      </c>
      <c r="BM14" s="4">
        <v>0.192</v>
      </c>
      <c r="BN14" s="4">
        <v>243931.18210000001</v>
      </c>
      <c r="BO14" s="4">
        <v>188312.1814</v>
      </c>
      <c r="BP14" s="4">
        <v>2.72</v>
      </c>
      <c r="BQ14" s="4">
        <v>-0.54039999999999999</v>
      </c>
      <c r="BR14" s="4">
        <v>-23477.852269999999</v>
      </c>
      <c r="BS14" s="4">
        <v>242798.70691000001</v>
      </c>
      <c r="BT14" s="4">
        <v>0.98765999999999998</v>
      </c>
      <c r="BU14" s="4">
        <v>0.19020000000000001</v>
      </c>
      <c r="BV14" s="7" t="s">
        <v>143</v>
      </c>
      <c r="BW14" s="14" t="s">
        <v>194</v>
      </c>
      <c r="BX14" s="15">
        <v>2</v>
      </c>
      <c r="BY14" s="15">
        <v>1</v>
      </c>
      <c r="BZ14" s="15">
        <v>3</v>
      </c>
      <c r="CA14" s="4">
        <v>3.5354000000000001</v>
      </c>
      <c r="CB14" s="4">
        <v>217917.36989999999</v>
      </c>
      <c r="CC14" s="4">
        <v>174331.58590000001</v>
      </c>
      <c r="CD14" s="4">
        <v>2.52</v>
      </c>
      <c r="CE14" s="4">
        <v>-0.22939999999999999</v>
      </c>
      <c r="CF14" s="4">
        <v>-5798.8566600000004</v>
      </c>
      <c r="CG14" s="4">
        <v>217840.20141000001</v>
      </c>
      <c r="CH14" s="4">
        <v>0.98673</v>
      </c>
      <c r="CI14" s="4">
        <v>0.43580999999999998</v>
      </c>
      <c r="CJ14" s="7" t="s">
        <v>143</v>
      </c>
      <c r="CK14" s="10" t="s">
        <v>197</v>
      </c>
      <c r="CL14" s="4">
        <v>4</v>
      </c>
      <c r="CM14" s="4">
        <v>1</v>
      </c>
      <c r="CN14" s="4">
        <v>6</v>
      </c>
      <c r="CO14" s="4" t="s">
        <v>192</v>
      </c>
      <c r="CP14" s="4">
        <v>417351.43729999999</v>
      </c>
      <c r="CQ14" s="4">
        <v>357893.94669999997</v>
      </c>
      <c r="CR14" s="4">
        <v>5.18</v>
      </c>
      <c r="CS14" s="4">
        <v>-3.1534</v>
      </c>
      <c r="CT14" s="4">
        <v>329405.77074000001</v>
      </c>
      <c r="CU14" s="4">
        <v>256269.50747000001</v>
      </c>
      <c r="CV14" s="4">
        <v>0.44368999999999997</v>
      </c>
      <c r="CW14" s="4">
        <v>9.3240000000000003E-2</v>
      </c>
      <c r="CX14" s="7" t="s">
        <v>143</v>
      </c>
    </row>
    <row r="15" spans="1:152" x14ac:dyDescent="0.3">
      <c r="A15" s="4" t="s">
        <v>241</v>
      </c>
      <c r="B15" s="40" t="s">
        <v>198</v>
      </c>
      <c r="C15" s="4" t="s">
        <v>140</v>
      </c>
      <c r="D15" s="4">
        <v>4.7000000000000002E-3</v>
      </c>
      <c r="E15" s="4">
        <v>1645417.9467</v>
      </c>
      <c r="F15" s="4">
        <v>1634397.1444000001</v>
      </c>
      <c r="G15" s="4">
        <v>50.99</v>
      </c>
      <c r="H15" s="4">
        <v>-73.901399999999995</v>
      </c>
      <c r="I15" s="4">
        <v>-1634397.1444300001</v>
      </c>
      <c r="J15" s="4">
        <v>190121.52299</v>
      </c>
      <c r="K15" s="4">
        <v>8.695E-2</v>
      </c>
      <c r="L15" s="4">
        <v>1E-4</v>
      </c>
      <c r="M15" s="4" t="s">
        <v>141</v>
      </c>
      <c r="N15" s="4" t="s">
        <v>140</v>
      </c>
      <c r="O15" s="4">
        <v>308162.67349999998</v>
      </c>
      <c r="P15" s="4">
        <v>245252</v>
      </c>
      <c r="Q15" s="4">
        <v>7.94</v>
      </c>
      <c r="R15" s="4">
        <v>-1.6272</v>
      </c>
      <c r="S15" s="4">
        <v>-242524.30768999999</v>
      </c>
      <c r="T15" s="4">
        <v>190121.52299</v>
      </c>
      <c r="U15" s="4">
        <v>8.695E-2</v>
      </c>
      <c r="V15" s="4">
        <v>1E-4</v>
      </c>
      <c r="W15" s="4">
        <v>1.1000000000000001E-3</v>
      </c>
      <c r="X15" s="4" t="s">
        <v>141</v>
      </c>
      <c r="Y15" s="4" t="s">
        <v>140</v>
      </c>
      <c r="Z15" s="4">
        <v>654800.44270000001</v>
      </c>
      <c r="AA15" s="4">
        <v>590693</v>
      </c>
      <c r="AB15" s="4">
        <v>18.600000000000001</v>
      </c>
      <c r="AC15" s="4">
        <v>-10.8619</v>
      </c>
      <c r="AD15" s="4">
        <v>-587965.30769000005</v>
      </c>
      <c r="AE15" s="4">
        <v>288202.04148000001</v>
      </c>
      <c r="AF15" s="4">
        <v>0.83087</v>
      </c>
      <c r="AG15" s="4">
        <v>0.94718000000000002</v>
      </c>
      <c r="AH15" s="4">
        <v>2.8999999999999998E-3</v>
      </c>
      <c r="AI15" s="4" t="s">
        <v>143</v>
      </c>
      <c r="AJ15" s="4" t="s">
        <v>140</v>
      </c>
      <c r="AK15" s="4">
        <v>2E-3</v>
      </c>
      <c r="AL15" s="4">
        <v>192172.1281</v>
      </c>
      <c r="AM15" s="4">
        <v>181347.27559999999</v>
      </c>
      <c r="AN15" s="4">
        <v>5.67</v>
      </c>
      <c r="AO15" s="4">
        <v>-2.1700000000000001E-2</v>
      </c>
      <c r="AP15" s="4">
        <v>181347.27564000001</v>
      </c>
      <c r="AQ15" s="4">
        <v>63586.888870000002</v>
      </c>
      <c r="AR15" s="4">
        <v>0.36947000000000002</v>
      </c>
      <c r="AS15" s="4">
        <v>0.34351999999999999</v>
      </c>
      <c r="AT15" s="4" t="s">
        <v>143</v>
      </c>
      <c r="AU15" s="5" t="s">
        <v>149</v>
      </c>
      <c r="AV15" s="4">
        <v>0</v>
      </c>
      <c r="AW15" s="4">
        <v>1</v>
      </c>
      <c r="AX15" s="4">
        <v>1</v>
      </c>
      <c r="AY15" s="4">
        <v>0.3503</v>
      </c>
      <c r="AZ15" s="4">
        <v>59477.543599999997</v>
      </c>
      <c r="BA15" s="4">
        <v>49967.6466</v>
      </c>
      <c r="BB15" s="6">
        <v>1.55</v>
      </c>
      <c r="BC15" s="6">
        <v>0.90210000000000001</v>
      </c>
      <c r="BD15" s="4">
        <v>-35736.827380000002</v>
      </c>
      <c r="BE15" s="4">
        <v>47544.267359999998</v>
      </c>
      <c r="BF15" s="6">
        <v>0.66100000000000003</v>
      </c>
      <c r="BG15" s="6">
        <v>0.82052999999999998</v>
      </c>
      <c r="BH15" s="7" t="s">
        <v>143</v>
      </c>
      <c r="BI15" s="5" t="s">
        <v>150</v>
      </c>
      <c r="BJ15" s="4">
        <v>1</v>
      </c>
      <c r="BK15" s="4">
        <v>1</v>
      </c>
      <c r="BL15" s="4">
        <v>0</v>
      </c>
      <c r="BM15" s="4">
        <v>0.28360000000000002</v>
      </c>
      <c r="BN15" s="4">
        <v>59482.323299999996</v>
      </c>
      <c r="BO15" s="4">
        <v>49982.645499999999</v>
      </c>
      <c r="BP15" s="6">
        <v>1.55</v>
      </c>
      <c r="BQ15" s="4">
        <v>0.90210000000000001</v>
      </c>
      <c r="BR15" s="4">
        <v>-35754.18475</v>
      </c>
      <c r="BS15" s="4">
        <v>47537.196559999997</v>
      </c>
      <c r="BT15" s="6">
        <v>0.65988999999999998</v>
      </c>
      <c r="BU15" s="6">
        <v>0.82142000000000004</v>
      </c>
      <c r="BV15" s="7" t="s">
        <v>143</v>
      </c>
      <c r="BW15" s="18" t="s">
        <v>199</v>
      </c>
      <c r="BX15" s="15">
        <v>1</v>
      </c>
      <c r="BY15" s="15">
        <v>1</v>
      </c>
      <c r="BZ15" s="15">
        <v>2</v>
      </c>
      <c r="CA15" s="4">
        <v>1.7426999999999999</v>
      </c>
      <c r="CB15" s="4">
        <v>56601.695699999997</v>
      </c>
      <c r="CC15" s="4">
        <v>47875.059699999998</v>
      </c>
      <c r="CD15" s="6">
        <v>1.48</v>
      </c>
      <c r="CE15" s="4">
        <v>0.91139999999999999</v>
      </c>
      <c r="CF15" s="4">
        <v>-29930.504570000001</v>
      </c>
      <c r="CG15" s="4">
        <v>48040.783190000002</v>
      </c>
      <c r="CH15" s="4">
        <v>0.63454999999999995</v>
      </c>
      <c r="CI15" s="4">
        <v>0.70657000000000003</v>
      </c>
      <c r="CJ15" s="7" t="s">
        <v>143</v>
      </c>
      <c r="CK15" s="10" t="s">
        <v>200</v>
      </c>
      <c r="CL15" s="4">
        <v>3</v>
      </c>
      <c r="CM15" s="4">
        <v>1</v>
      </c>
      <c r="CN15" s="4">
        <v>6</v>
      </c>
      <c r="CO15" s="4" t="s">
        <v>201</v>
      </c>
      <c r="CP15" s="4">
        <v>88638.326499999996</v>
      </c>
      <c r="CQ15" s="4">
        <v>77038.056700000001</v>
      </c>
      <c r="CR15" s="4">
        <v>2.37</v>
      </c>
      <c r="CS15" s="6">
        <v>0.78259999999999996</v>
      </c>
      <c r="CT15" s="4">
        <v>13261.576489999999</v>
      </c>
      <c r="CU15" s="4">
        <v>87640.649900000004</v>
      </c>
      <c r="CV15" s="4">
        <v>0.46860000000000002</v>
      </c>
      <c r="CW15" s="4">
        <v>0.52788999999999997</v>
      </c>
      <c r="CX15" s="7" t="s">
        <v>143</v>
      </c>
      <c r="CY15" s="10" t="s">
        <v>264</v>
      </c>
      <c r="CZ15" s="32">
        <v>1</v>
      </c>
      <c r="DA15" s="32" t="s">
        <v>191</v>
      </c>
      <c r="DB15" s="32">
        <v>202646.05059999999</v>
      </c>
      <c r="DC15" s="32">
        <v>155986.0245</v>
      </c>
      <c r="DD15" s="32">
        <v>5.16</v>
      </c>
      <c r="DE15" s="32">
        <v>-4.0709999999999997</v>
      </c>
      <c r="DF15" s="32">
        <v>155986.02454000001</v>
      </c>
      <c r="DG15" s="32">
        <v>129359.12012000001</v>
      </c>
      <c r="DH15" s="32">
        <v>0.40505999999999998</v>
      </c>
      <c r="DI15" s="32">
        <v>0.16939000000000001</v>
      </c>
      <c r="DJ15" s="7" t="s">
        <v>143</v>
      </c>
      <c r="DK15" s="4" t="s">
        <v>202</v>
      </c>
      <c r="DL15" s="4">
        <v>2</v>
      </c>
      <c r="DM15" s="4">
        <v>44</v>
      </c>
      <c r="DN15" s="4" t="s">
        <v>186</v>
      </c>
      <c r="DO15" s="4">
        <v>9.6912363889199039E-3</v>
      </c>
      <c r="DP15" s="4">
        <v>16</v>
      </c>
      <c r="DQ15" s="4">
        <v>0.1</v>
      </c>
      <c r="DR15" s="4">
        <v>8</v>
      </c>
      <c r="DS15" s="4">
        <v>12.3315</v>
      </c>
      <c r="EB15" s="4" t="s">
        <v>141</v>
      </c>
    </row>
    <row r="16" spans="1:152" x14ac:dyDescent="0.3">
      <c r="A16" s="4" t="s">
        <v>243</v>
      </c>
      <c r="B16" s="40" t="s">
        <v>203</v>
      </c>
      <c r="C16" s="4" t="s">
        <v>140</v>
      </c>
      <c r="D16" s="4">
        <v>1E-3</v>
      </c>
      <c r="E16" s="4">
        <v>1.5852999999999999</v>
      </c>
      <c r="F16" s="4">
        <v>1.5333000000000001</v>
      </c>
      <c r="G16" s="4">
        <v>19.21</v>
      </c>
      <c r="H16" s="4">
        <v>-14.5044</v>
      </c>
      <c r="I16" s="4">
        <v>-1.5333300000000001</v>
      </c>
      <c r="J16" s="4">
        <v>0.40261000000000002</v>
      </c>
      <c r="K16" s="4">
        <v>0.15337000000000001</v>
      </c>
      <c r="L16" s="4">
        <v>0.18387999999999999</v>
      </c>
      <c r="M16" s="4" t="s">
        <v>143</v>
      </c>
      <c r="N16" s="4" t="s">
        <v>140</v>
      </c>
      <c r="O16" s="4">
        <v>0.73029999999999995</v>
      </c>
      <c r="P16" s="4">
        <v>0.61419999999999997</v>
      </c>
      <c r="Q16" s="4">
        <v>7.85</v>
      </c>
      <c r="R16" s="4">
        <v>-2.2905000000000002</v>
      </c>
      <c r="S16" s="4">
        <v>-0.60933000000000004</v>
      </c>
      <c r="T16" s="4">
        <v>0.40261000000000002</v>
      </c>
      <c r="U16" s="4">
        <v>0.15337000000000001</v>
      </c>
      <c r="V16" s="4">
        <v>0.18387999999999999</v>
      </c>
      <c r="W16" s="4">
        <v>2E-3</v>
      </c>
      <c r="X16" s="4" t="s">
        <v>143</v>
      </c>
      <c r="Y16" s="4" t="s">
        <v>140</v>
      </c>
      <c r="Z16" s="4">
        <v>0.66049999999999998</v>
      </c>
      <c r="AA16" s="4">
        <v>0.54059999999999997</v>
      </c>
      <c r="AB16" s="4">
        <v>6.92</v>
      </c>
      <c r="AC16" s="4">
        <v>-1.6917</v>
      </c>
      <c r="AD16" s="4">
        <v>-0.51105999999999996</v>
      </c>
      <c r="AE16" s="4">
        <v>0.41848000000000002</v>
      </c>
      <c r="AF16" s="4">
        <v>0.24904000000000001</v>
      </c>
      <c r="AG16" s="4">
        <v>0.23971999999999999</v>
      </c>
      <c r="AH16" s="4">
        <v>2E-3</v>
      </c>
      <c r="AI16" s="4" t="s">
        <v>143</v>
      </c>
      <c r="AJ16" s="4" t="s">
        <v>140</v>
      </c>
      <c r="AK16" s="4">
        <v>1.26E-2</v>
      </c>
      <c r="AL16" s="4">
        <v>0.64129999999999998</v>
      </c>
      <c r="AM16" s="4">
        <v>0.52610000000000001</v>
      </c>
      <c r="AN16" s="4">
        <v>6.74</v>
      </c>
      <c r="AO16" s="4">
        <v>-1.5370999999999999</v>
      </c>
      <c r="AP16" s="4">
        <v>-0.51927999999999996</v>
      </c>
      <c r="AQ16" s="4">
        <v>0.37631999999999999</v>
      </c>
      <c r="AR16" s="4">
        <v>6.4119999999999996E-2</v>
      </c>
      <c r="AS16" s="4">
        <v>0.22067000000000001</v>
      </c>
      <c r="AT16" s="4" t="s">
        <v>143</v>
      </c>
      <c r="AU16" s="10" t="s">
        <v>149</v>
      </c>
      <c r="AV16" s="4">
        <v>0</v>
      </c>
      <c r="AW16" s="4">
        <v>1</v>
      </c>
      <c r="AX16" s="4">
        <v>1</v>
      </c>
      <c r="AY16" s="4">
        <v>0.50729999999999997</v>
      </c>
      <c r="AZ16" s="4">
        <v>0.38869999999999999</v>
      </c>
      <c r="BA16" s="4">
        <v>0.28660000000000002</v>
      </c>
      <c r="BB16" s="4">
        <v>3.62</v>
      </c>
      <c r="BC16" s="4">
        <v>6.7799999999999999E-2</v>
      </c>
      <c r="BD16" s="4">
        <v>-4.496E-2</v>
      </c>
      <c r="BE16" s="4">
        <v>0.38611000000000001</v>
      </c>
      <c r="BF16" s="4">
        <v>0.88197999999999999</v>
      </c>
      <c r="BG16" s="4">
        <v>0.41983999999999999</v>
      </c>
      <c r="BH16" s="7" t="s">
        <v>143</v>
      </c>
      <c r="BI16" s="10" t="s">
        <v>168</v>
      </c>
      <c r="BJ16" s="4">
        <v>4</v>
      </c>
      <c r="BK16" s="4">
        <v>1</v>
      </c>
      <c r="BL16" s="4">
        <v>0</v>
      </c>
      <c r="BM16" s="4">
        <v>0.88680000000000003</v>
      </c>
      <c r="BN16" s="4">
        <v>0.38790000000000002</v>
      </c>
      <c r="BO16" s="4">
        <v>0.28820000000000001</v>
      </c>
      <c r="BP16" s="4">
        <v>3.64</v>
      </c>
      <c r="BQ16" s="4">
        <v>7.1499999999999994E-2</v>
      </c>
      <c r="BR16" s="4">
        <v>-4.5530000000000001E-2</v>
      </c>
      <c r="BS16" s="4">
        <v>0.38527</v>
      </c>
      <c r="BT16" s="4">
        <v>0.76226000000000005</v>
      </c>
      <c r="BU16" s="4">
        <v>0.24009</v>
      </c>
      <c r="BV16" s="7" t="s">
        <v>143</v>
      </c>
      <c r="BW16" s="14" t="s">
        <v>204</v>
      </c>
      <c r="BX16" s="19">
        <v>3</v>
      </c>
      <c r="BY16" s="19">
        <v>1</v>
      </c>
      <c r="BZ16" s="19">
        <v>2</v>
      </c>
      <c r="CA16" s="4">
        <v>2.1854</v>
      </c>
      <c r="CB16" s="4">
        <v>0.37769999999999998</v>
      </c>
      <c r="CC16" s="4">
        <v>0.28589999999999999</v>
      </c>
      <c r="CD16" s="4">
        <v>3.6</v>
      </c>
      <c r="CE16" s="4">
        <v>0.1201</v>
      </c>
      <c r="CF16" s="4">
        <v>-4.7640000000000002E-2</v>
      </c>
      <c r="CG16" s="4">
        <v>0.37463999999999997</v>
      </c>
      <c r="CH16" s="4">
        <v>0.88863999999999999</v>
      </c>
      <c r="CI16" s="4">
        <v>0.30102000000000001</v>
      </c>
      <c r="CJ16" s="7" t="s">
        <v>143</v>
      </c>
      <c r="CK16" s="5" t="s">
        <v>205</v>
      </c>
      <c r="CL16" s="4">
        <v>5</v>
      </c>
      <c r="CM16" s="4">
        <v>1</v>
      </c>
      <c r="CN16" s="4">
        <v>4</v>
      </c>
      <c r="CO16" s="4" t="s">
        <v>206</v>
      </c>
      <c r="CP16" s="4">
        <v>0.3624</v>
      </c>
      <c r="CQ16" s="4">
        <v>0.24510000000000001</v>
      </c>
      <c r="CR16" s="4">
        <v>3.14</v>
      </c>
      <c r="CS16" s="4">
        <v>0.24440000000000001</v>
      </c>
      <c r="CT16" s="4">
        <v>-9.4259999999999997E-2</v>
      </c>
      <c r="CU16" s="4">
        <v>0.34994999999999998</v>
      </c>
      <c r="CV16" s="4">
        <v>6.4350000000000004E-2</v>
      </c>
      <c r="CW16" s="4">
        <v>0.83282999999999996</v>
      </c>
      <c r="CX16" s="7" t="s">
        <v>143</v>
      </c>
      <c r="CY16" s="10" t="s">
        <v>265</v>
      </c>
      <c r="CZ16" s="32">
        <v>1</v>
      </c>
      <c r="DA16" s="32" t="s">
        <v>179</v>
      </c>
      <c r="DB16" s="32">
        <v>0.3584</v>
      </c>
      <c r="DC16" s="32">
        <v>0.2944</v>
      </c>
      <c r="DD16" s="32">
        <v>3.84</v>
      </c>
      <c r="DE16" s="32">
        <v>0.32190000000000002</v>
      </c>
      <c r="DF16" s="32">
        <v>-8.9069999999999996E-2</v>
      </c>
      <c r="DG16" s="32">
        <v>0.34717999999999999</v>
      </c>
      <c r="DH16" s="32">
        <v>2.2669999999999999E-2</v>
      </c>
      <c r="DI16" s="32">
        <v>0.17580999999999999</v>
      </c>
      <c r="DJ16" s="7" t="s">
        <v>143</v>
      </c>
    </row>
    <row r="17" spans="1:152" x14ac:dyDescent="0.3">
      <c r="A17" s="4" t="s">
        <v>245</v>
      </c>
      <c r="B17" s="40" t="s">
        <v>207</v>
      </c>
      <c r="C17" s="4" t="s">
        <v>140</v>
      </c>
      <c r="E17" s="4">
        <v>1.2596000000000001</v>
      </c>
      <c r="F17" s="4">
        <v>0.9103</v>
      </c>
      <c r="G17" s="12">
        <v>1.89</v>
      </c>
      <c r="H17" s="4">
        <v>0</v>
      </c>
      <c r="I17" s="4">
        <v>-4.2599999999999999E-3</v>
      </c>
      <c r="J17" s="4">
        <v>1.25959</v>
      </c>
      <c r="K17" s="4">
        <v>6.0000000000000002E-5</v>
      </c>
      <c r="L17" s="4">
        <v>0.24581</v>
      </c>
      <c r="M17" s="4" t="s">
        <v>143</v>
      </c>
      <c r="N17" s="4" t="s">
        <v>140</v>
      </c>
      <c r="O17" s="4">
        <v>5.4527999999999999</v>
      </c>
      <c r="P17" s="4">
        <v>5.3053999999999997</v>
      </c>
      <c r="Q17" s="4">
        <v>10.68</v>
      </c>
      <c r="R17" s="4">
        <v>-17.7408</v>
      </c>
      <c r="S17" s="4">
        <v>5.3053699999999999</v>
      </c>
      <c r="T17" s="4">
        <v>1.25959</v>
      </c>
      <c r="U17" s="4">
        <v>6.0000000000000002E-5</v>
      </c>
      <c r="V17" s="4">
        <v>0.24581</v>
      </c>
      <c r="X17" s="4" t="s">
        <v>143</v>
      </c>
      <c r="Y17" s="4" t="s">
        <v>140</v>
      </c>
      <c r="Z17" s="4">
        <v>15.294499999999999</v>
      </c>
      <c r="AA17" s="4">
        <v>12.835900000000001</v>
      </c>
      <c r="AB17" s="4">
        <v>26.07</v>
      </c>
      <c r="AC17" s="4">
        <v>-146.43860000000001</v>
      </c>
      <c r="AD17" s="4">
        <v>12.83591</v>
      </c>
      <c r="AE17" s="4">
        <v>8.3162800000000008</v>
      </c>
      <c r="AF17" s="4">
        <v>1.01E-3</v>
      </c>
      <c r="AG17" s="4">
        <v>4.8210000000000003E-2</v>
      </c>
      <c r="AH17" s="4">
        <v>6.4999999999999997E-3</v>
      </c>
      <c r="AI17" s="4" t="s">
        <v>141</v>
      </c>
      <c r="AJ17" s="4" t="s">
        <v>140</v>
      </c>
      <c r="AL17" s="4">
        <v>8.2988</v>
      </c>
      <c r="AM17" s="4">
        <v>7.9234</v>
      </c>
      <c r="AN17" s="4">
        <v>15.93</v>
      </c>
      <c r="AO17" s="4">
        <v>-42.408200000000001</v>
      </c>
      <c r="AP17" s="4">
        <v>7.9233700000000002</v>
      </c>
      <c r="AQ17" s="4">
        <v>2.4678499999999999</v>
      </c>
      <c r="AR17" s="4">
        <v>0.24854000000000001</v>
      </c>
      <c r="AS17" s="4">
        <v>3.6069999999999998E-2</v>
      </c>
      <c r="AT17" s="4" t="s">
        <v>141</v>
      </c>
      <c r="AU17" s="10" t="s">
        <v>167</v>
      </c>
      <c r="AV17" s="4">
        <v>0</v>
      </c>
      <c r="AW17" s="4">
        <v>1</v>
      </c>
      <c r="AX17" s="4">
        <v>2</v>
      </c>
      <c r="AY17" s="4">
        <v>0.54590000000000005</v>
      </c>
      <c r="AZ17" s="4">
        <v>1.7906</v>
      </c>
      <c r="BA17" s="4">
        <v>0.99319999999999997</v>
      </c>
      <c r="BB17" s="4">
        <v>2.09</v>
      </c>
      <c r="BC17" s="4">
        <v>-1.0208999999999999</v>
      </c>
      <c r="BD17" s="4">
        <v>0.98353999999999997</v>
      </c>
      <c r="BE17" s="4">
        <v>1.4962899999999999</v>
      </c>
      <c r="BF17" s="4">
        <v>4.2000000000000002E-4</v>
      </c>
      <c r="BG17" s="4">
        <v>4.0730000000000002E-2</v>
      </c>
      <c r="BH17" s="7" t="s">
        <v>141</v>
      </c>
      <c r="BI17" s="10" t="s">
        <v>150</v>
      </c>
      <c r="BJ17" s="4">
        <v>1</v>
      </c>
      <c r="BK17" s="4">
        <v>1</v>
      </c>
      <c r="BL17" s="4">
        <v>0</v>
      </c>
      <c r="BM17" s="4">
        <v>0.15310000000000001</v>
      </c>
      <c r="BN17" s="4">
        <v>1.2816000000000001</v>
      </c>
      <c r="BO17" s="4">
        <v>0.76359999999999995</v>
      </c>
      <c r="BP17" s="4">
        <v>1.59</v>
      </c>
      <c r="BQ17" s="4">
        <v>-3.5200000000000002E-2</v>
      </c>
      <c r="BR17" s="4">
        <v>0.76358999999999999</v>
      </c>
      <c r="BS17" s="4">
        <v>1.02929</v>
      </c>
      <c r="BT17" s="4">
        <v>1.3999999999999999E-4</v>
      </c>
      <c r="BU17" s="4">
        <v>1.6369999999999999E-2</v>
      </c>
      <c r="BV17" s="7" t="s">
        <v>141</v>
      </c>
      <c r="BW17" s="10" t="s">
        <v>151</v>
      </c>
      <c r="BX17" s="11">
        <v>0</v>
      </c>
      <c r="BY17" s="11">
        <v>1</v>
      </c>
      <c r="BZ17" s="11">
        <v>0</v>
      </c>
      <c r="CA17" s="4">
        <v>6.4299999999999996E-2</v>
      </c>
      <c r="CB17" s="4">
        <v>0.98109999999999997</v>
      </c>
      <c r="CC17" s="4">
        <v>0.55249999999999999</v>
      </c>
      <c r="CD17" s="4">
        <v>1.1499999999999999</v>
      </c>
      <c r="CE17" s="4">
        <v>0.39329999999999998</v>
      </c>
      <c r="CF17" s="4">
        <v>0.55247000000000002</v>
      </c>
      <c r="CG17" s="4">
        <v>0.81076000000000004</v>
      </c>
      <c r="CH17" s="4">
        <v>5.0000000000000002E-5</v>
      </c>
      <c r="CI17" s="4">
        <v>4.4760000000000001E-2</v>
      </c>
      <c r="CJ17" s="7" t="s">
        <v>141</v>
      </c>
      <c r="CK17" s="10" t="s">
        <v>208</v>
      </c>
      <c r="CL17" s="4">
        <v>0</v>
      </c>
      <c r="CM17" s="4">
        <v>1</v>
      </c>
      <c r="CN17" s="4">
        <v>6</v>
      </c>
      <c r="CO17" s="4" t="s">
        <v>209</v>
      </c>
      <c r="CP17" s="4">
        <v>8.7308000000000003</v>
      </c>
      <c r="CQ17" s="4">
        <v>4.8132999999999999</v>
      </c>
      <c r="CR17" s="23">
        <v>10.1</v>
      </c>
      <c r="CS17" s="4">
        <v>-47.045699999999997</v>
      </c>
      <c r="CT17" s="4">
        <v>3.2936700000000001</v>
      </c>
      <c r="CU17" s="4">
        <v>8.0857500000000009</v>
      </c>
      <c r="CV17" s="4">
        <v>7.7999999999999999E-4</v>
      </c>
      <c r="CW17" s="4">
        <v>0.77190000000000003</v>
      </c>
      <c r="CX17" s="7" t="s">
        <v>143</v>
      </c>
    </row>
    <row r="18" spans="1:152" x14ac:dyDescent="0.3">
      <c r="B18" s="40" t="s">
        <v>210</v>
      </c>
      <c r="C18" s="4" t="s">
        <v>140</v>
      </c>
      <c r="D18" s="4">
        <v>3.3E-3</v>
      </c>
      <c r="E18" s="4">
        <v>49.500500000000002</v>
      </c>
      <c r="F18" s="4">
        <v>49.059699999999999</v>
      </c>
      <c r="G18" s="4">
        <v>39.159999999999997</v>
      </c>
      <c r="H18" s="4">
        <v>-55.401899999999998</v>
      </c>
      <c r="I18" s="4">
        <v>-49.05968</v>
      </c>
      <c r="J18" s="4">
        <v>6.59117</v>
      </c>
      <c r="K18" s="4">
        <v>5.203E-2</v>
      </c>
      <c r="L18" s="4">
        <v>0.53522999999999998</v>
      </c>
      <c r="M18" s="4" t="s">
        <v>143</v>
      </c>
      <c r="N18" s="4" t="s">
        <v>140</v>
      </c>
      <c r="O18" s="4">
        <v>9.2248000000000001</v>
      </c>
      <c r="P18" s="4">
        <v>8.5312000000000001</v>
      </c>
      <c r="Q18" s="4">
        <v>6.66</v>
      </c>
      <c r="R18" s="4">
        <v>-0.95879999999999999</v>
      </c>
      <c r="S18" s="4">
        <v>6.4539499999999999</v>
      </c>
      <c r="T18" s="4">
        <v>6.59117</v>
      </c>
      <c r="U18" s="4">
        <v>5.203E-2</v>
      </c>
      <c r="V18" s="4">
        <v>0.53522999999999998</v>
      </c>
      <c r="W18" s="4">
        <v>2.5000000000000001E-3</v>
      </c>
      <c r="X18" s="4" t="s">
        <v>143</v>
      </c>
      <c r="Y18" s="4" t="s">
        <v>140</v>
      </c>
      <c r="Z18" s="4">
        <v>41.604100000000003</v>
      </c>
      <c r="AA18" s="4">
        <v>31.724599999999999</v>
      </c>
      <c r="AB18" s="4">
        <v>25.38</v>
      </c>
      <c r="AC18" s="4">
        <v>-38.842599999999997</v>
      </c>
      <c r="AD18" s="4">
        <v>-27.703779999999998</v>
      </c>
      <c r="AE18" s="4">
        <v>31.038720000000001</v>
      </c>
      <c r="AF18" s="4">
        <v>5.4769999999999999E-2</v>
      </c>
      <c r="AG18" s="4">
        <v>7.0199999999999999E-2</v>
      </c>
      <c r="AH18" s="4">
        <v>9.4000000000000004E-3</v>
      </c>
      <c r="AI18" s="4" t="s">
        <v>143</v>
      </c>
      <c r="AJ18" s="4" t="s">
        <v>140</v>
      </c>
      <c r="AK18" s="4">
        <v>1.14E-2</v>
      </c>
      <c r="AL18" s="4">
        <v>9.1655999999999995</v>
      </c>
      <c r="AM18" s="4">
        <v>6.1371000000000002</v>
      </c>
      <c r="AN18" s="4">
        <v>5.05</v>
      </c>
      <c r="AO18" s="4">
        <v>-0.93369999999999997</v>
      </c>
      <c r="AP18" s="4">
        <v>-1.17554</v>
      </c>
      <c r="AQ18" s="4">
        <v>9.0899199999999993</v>
      </c>
      <c r="AR18" s="4">
        <v>2.0039999999999999E-2</v>
      </c>
      <c r="AS18" s="4">
        <v>8.838E-2</v>
      </c>
      <c r="AT18" s="4" t="s">
        <v>143</v>
      </c>
      <c r="AU18" s="10" t="s">
        <v>173</v>
      </c>
      <c r="AV18" s="4">
        <v>0</v>
      </c>
      <c r="AW18" s="4">
        <v>1</v>
      </c>
      <c r="AX18" s="4">
        <v>4</v>
      </c>
      <c r="AY18" s="4">
        <v>2.1383000000000001</v>
      </c>
      <c r="AZ18" s="4">
        <v>7.2619999999999996</v>
      </c>
      <c r="BA18" s="4">
        <v>5.6680999999999999</v>
      </c>
      <c r="BB18" s="4">
        <v>4.58</v>
      </c>
      <c r="BC18" s="4">
        <v>-0.21390000000000001</v>
      </c>
      <c r="BD18" s="4">
        <v>-1.0846800000000001</v>
      </c>
      <c r="BE18" s="4">
        <v>7.1805599999999998</v>
      </c>
      <c r="BF18" s="4">
        <v>0.49980999999999998</v>
      </c>
      <c r="BG18" s="4">
        <v>2.989E-2</v>
      </c>
      <c r="BH18" s="7" t="s">
        <v>141</v>
      </c>
      <c r="BI18" s="10" t="s">
        <v>168</v>
      </c>
      <c r="BJ18" s="4">
        <v>4</v>
      </c>
      <c r="BK18" s="4">
        <v>1</v>
      </c>
      <c r="BL18" s="4">
        <v>0</v>
      </c>
      <c r="BM18" s="4">
        <v>0.72499999999999998</v>
      </c>
      <c r="BN18" s="4">
        <v>8.0947999999999993</v>
      </c>
      <c r="BO18" s="4">
        <v>6.1837</v>
      </c>
      <c r="BP18" s="4">
        <v>4.99</v>
      </c>
      <c r="BQ18" s="4">
        <v>-0.50829999999999997</v>
      </c>
      <c r="BR18" s="4">
        <v>-0.76310999999999996</v>
      </c>
      <c r="BS18" s="4">
        <v>8.0587700000000009</v>
      </c>
      <c r="BT18" s="4">
        <v>0.98145000000000004</v>
      </c>
      <c r="BU18" s="4">
        <v>3.63E-3</v>
      </c>
      <c r="BV18" s="7" t="s">
        <v>141</v>
      </c>
      <c r="BW18" s="14" t="s">
        <v>169</v>
      </c>
      <c r="BX18" s="15">
        <v>1</v>
      </c>
      <c r="BY18" s="15">
        <v>1</v>
      </c>
      <c r="BZ18" s="15">
        <v>3</v>
      </c>
      <c r="CA18" s="4">
        <v>1.78</v>
      </c>
      <c r="CB18" s="4">
        <v>7.2028999999999996</v>
      </c>
      <c r="CC18" s="4">
        <v>5.8288000000000002</v>
      </c>
      <c r="CD18" s="4">
        <v>4.75</v>
      </c>
      <c r="CE18" s="4">
        <v>-0.19420000000000001</v>
      </c>
      <c r="CF18" s="4">
        <v>-1.1789499999999999</v>
      </c>
      <c r="CG18" s="4">
        <v>7.1058000000000003</v>
      </c>
      <c r="CH18" s="4">
        <v>0.12755</v>
      </c>
      <c r="CI18" s="4">
        <v>1.209E-2</v>
      </c>
      <c r="CJ18" s="7" t="s">
        <v>141</v>
      </c>
      <c r="CK18" s="10" t="s">
        <v>208</v>
      </c>
      <c r="CL18" s="4">
        <v>0</v>
      </c>
      <c r="CM18" s="4">
        <v>1</v>
      </c>
      <c r="CN18" s="4">
        <v>6</v>
      </c>
      <c r="CO18" s="4" t="s">
        <v>211</v>
      </c>
      <c r="CP18" s="4">
        <v>7.7446999999999999</v>
      </c>
      <c r="CQ18" s="4">
        <v>6.6067</v>
      </c>
      <c r="CR18" s="4">
        <v>5.21</v>
      </c>
      <c r="CS18" s="4">
        <v>-6.5500000000000003E-2</v>
      </c>
      <c r="CT18" s="4">
        <v>5.2217000000000002</v>
      </c>
      <c r="CU18" s="4">
        <v>5.7196100000000003</v>
      </c>
      <c r="CV18" s="4">
        <v>0.66925000000000001</v>
      </c>
      <c r="CW18" s="4">
        <v>0.75136000000000003</v>
      </c>
      <c r="CX18" s="7" t="s">
        <v>143</v>
      </c>
    </row>
    <row r="19" spans="1:152" x14ac:dyDescent="0.3">
      <c r="A19" s="4" t="s">
        <v>246</v>
      </c>
      <c r="B19" s="40" t="s">
        <v>212</v>
      </c>
      <c r="C19" s="4" t="s">
        <v>140</v>
      </c>
      <c r="D19" s="4">
        <v>2.2000000000000001E-3</v>
      </c>
      <c r="E19" s="4">
        <v>89.985299999999995</v>
      </c>
      <c r="F19" s="4">
        <v>74.8262</v>
      </c>
      <c r="G19" s="4">
        <v>38.99</v>
      </c>
      <c r="H19" s="4">
        <v>-0.18340000000000001</v>
      </c>
      <c r="I19" s="4">
        <v>35.42736</v>
      </c>
      <c r="J19" s="4">
        <v>82.7179</v>
      </c>
      <c r="K19" s="4">
        <v>0.61423000000000005</v>
      </c>
      <c r="L19" s="4">
        <v>1.2239999999999999E-2</v>
      </c>
      <c r="M19" s="4" t="s">
        <v>141</v>
      </c>
      <c r="N19" s="4" t="s">
        <v>140</v>
      </c>
      <c r="O19" s="4">
        <v>94.298900000000003</v>
      </c>
      <c r="P19" s="4">
        <v>79.772199999999998</v>
      </c>
      <c r="Q19" s="4">
        <v>56.77</v>
      </c>
      <c r="R19" s="4">
        <v>-0.29959999999999998</v>
      </c>
      <c r="S19" s="4">
        <v>-45.277290000000001</v>
      </c>
      <c r="T19" s="4">
        <v>82.7179</v>
      </c>
      <c r="U19" s="4">
        <v>0.61423000000000005</v>
      </c>
      <c r="V19" s="4">
        <v>1.2239999999999999E-2</v>
      </c>
      <c r="W19" s="4">
        <v>2.3E-3</v>
      </c>
      <c r="X19" s="4" t="s">
        <v>141</v>
      </c>
      <c r="Y19" s="4" t="s">
        <v>140</v>
      </c>
      <c r="Z19" s="4">
        <v>427.15890000000002</v>
      </c>
      <c r="AA19" s="4">
        <v>303.6266</v>
      </c>
      <c r="AB19" s="4">
        <v>193.49</v>
      </c>
      <c r="AC19" s="4">
        <v>-25.667400000000001</v>
      </c>
      <c r="AD19" s="4">
        <v>-278.83044999999998</v>
      </c>
      <c r="AE19" s="4">
        <v>323.60205000000002</v>
      </c>
      <c r="AF19" s="4">
        <v>1.2619999999999999E-2</v>
      </c>
      <c r="AG19" s="4">
        <v>6.2289999999999998E-2</v>
      </c>
      <c r="AH19" s="4">
        <v>1.9E-3</v>
      </c>
      <c r="AI19" s="4" t="s">
        <v>143</v>
      </c>
      <c r="AJ19" s="4" t="s">
        <v>140</v>
      </c>
      <c r="AL19" s="4">
        <v>119.09690000000001</v>
      </c>
      <c r="AM19" s="4">
        <v>102.51430000000001</v>
      </c>
      <c r="AN19" s="4">
        <v>74.03</v>
      </c>
      <c r="AO19" s="4">
        <v>-1.073</v>
      </c>
      <c r="AP19" s="4">
        <v>-71.473879999999994</v>
      </c>
      <c r="AQ19" s="4">
        <v>95.265749999999997</v>
      </c>
      <c r="AR19" s="4">
        <v>0.39928000000000002</v>
      </c>
      <c r="AS19" s="4">
        <v>6.5199999999999998E-3</v>
      </c>
      <c r="AT19" s="4" t="s">
        <v>141</v>
      </c>
      <c r="AU19" s="10" t="s">
        <v>167</v>
      </c>
      <c r="AV19" s="4">
        <v>0</v>
      </c>
      <c r="AW19" s="4">
        <v>1</v>
      </c>
      <c r="AX19" s="4">
        <v>2</v>
      </c>
      <c r="AY19" s="4">
        <v>1.2243999999999999</v>
      </c>
      <c r="AZ19" s="4">
        <v>70.145499999999998</v>
      </c>
      <c r="BA19" s="4">
        <v>57.174100000000003</v>
      </c>
      <c r="BB19" s="4">
        <v>37.15</v>
      </c>
      <c r="BC19" s="4">
        <v>0.28089999999999998</v>
      </c>
      <c r="BD19" s="4">
        <v>-53.568779999999997</v>
      </c>
      <c r="BE19" s="4">
        <v>45.285499999999999</v>
      </c>
      <c r="BF19" s="4">
        <v>0.79971999999999999</v>
      </c>
      <c r="BG19" s="4">
        <v>0.11753</v>
      </c>
      <c r="BH19" s="7" t="s">
        <v>143</v>
      </c>
      <c r="BI19" s="10" t="s">
        <v>150</v>
      </c>
      <c r="BJ19" s="4">
        <v>1</v>
      </c>
      <c r="BK19" s="4">
        <v>1</v>
      </c>
      <c r="BL19" s="4">
        <v>0</v>
      </c>
      <c r="BM19" s="4">
        <v>0.29239999999999999</v>
      </c>
      <c r="BN19" s="4">
        <v>62.437600000000003</v>
      </c>
      <c r="BO19" s="4">
        <v>50.942500000000003</v>
      </c>
      <c r="BP19" s="4">
        <v>29.24</v>
      </c>
      <c r="BQ19" s="4">
        <v>0.43020000000000003</v>
      </c>
      <c r="BR19" s="4">
        <v>-14.065009999999999</v>
      </c>
      <c r="BS19" s="4">
        <v>60.832810000000002</v>
      </c>
      <c r="BT19" s="4">
        <v>0.69606999999999997</v>
      </c>
      <c r="BU19" s="4">
        <v>7.1790000000000007E-2</v>
      </c>
      <c r="BV19" s="7" t="s">
        <v>143</v>
      </c>
      <c r="BW19" s="10" t="s">
        <v>151</v>
      </c>
      <c r="BX19" s="11">
        <v>0</v>
      </c>
      <c r="BY19" s="11">
        <v>1</v>
      </c>
      <c r="BZ19" s="11">
        <v>0</v>
      </c>
      <c r="CA19" s="4">
        <v>6.93E-2</v>
      </c>
      <c r="CB19" s="4">
        <v>55.7654</v>
      </c>
      <c r="CC19" s="4">
        <v>44.563400000000001</v>
      </c>
      <c r="CD19" s="4">
        <v>24.44</v>
      </c>
      <c r="CE19" s="4">
        <v>0.54549999999999998</v>
      </c>
      <c r="CF19" s="4">
        <v>-9.7493300000000005</v>
      </c>
      <c r="CG19" s="4">
        <v>54.906559999999999</v>
      </c>
      <c r="CH19" s="4">
        <v>0.40973999999999999</v>
      </c>
      <c r="CI19" s="4">
        <v>9.146E-2</v>
      </c>
      <c r="CJ19" s="7" t="s">
        <v>143</v>
      </c>
      <c r="CK19" s="10" t="s">
        <v>208</v>
      </c>
      <c r="CL19" s="4">
        <v>0</v>
      </c>
      <c r="CM19" s="4">
        <v>1</v>
      </c>
      <c r="CN19" s="4">
        <v>6</v>
      </c>
      <c r="CO19" s="4" t="s">
        <v>213</v>
      </c>
      <c r="CP19" s="4">
        <v>123.76739999999999</v>
      </c>
      <c r="CQ19" s="4">
        <v>88.775000000000006</v>
      </c>
      <c r="CR19" s="23">
        <v>44.83</v>
      </c>
      <c r="CS19" s="4">
        <v>-1.2483</v>
      </c>
      <c r="CT19" s="4">
        <v>-75.566509999999994</v>
      </c>
      <c r="CU19" s="4">
        <v>98.020830000000004</v>
      </c>
      <c r="CV19" s="4">
        <v>9.2920000000000003E-2</v>
      </c>
      <c r="CW19" s="4">
        <v>0.17383000000000001</v>
      </c>
      <c r="CX19" s="7" t="s">
        <v>143</v>
      </c>
      <c r="CY19" s="10" t="s">
        <v>263</v>
      </c>
      <c r="CZ19" s="32">
        <v>1</v>
      </c>
      <c r="DA19" s="32" t="s">
        <v>198</v>
      </c>
      <c r="DB19" s="32">
        <v>144.56800000000001</v>
      </c>
      <c r="DC19" s="32">
        <v>119.9177</v>
      </c>
      <c r="DD19" s="32">
        <v>110.63</v>
      </c>
      <c r="DE19" s="32">
        <v>-4.8329000000000004</v>
      </c>
      <c r="DF19" s="32">
        <v>-119.91767</v>
      </c>
      <c r="DG19" s="32">
        <v>80.744429999999994</v>
      </c>
      <c r="DH19" s="32">
        <v>0.25540000000000002</v>
      </c>
      <c r="DI19" s="32">
        <v>7.0860000000000006E-2</v>
      </c>
      <c r="DJ19" s="7" t="s">
        <v>143</v>
      </c>
      <c r="DK19" s="4" t="s">
        <v>185</v>
      </c>
      <c r="DL19" s="4">
        <v>2</v>
      </c>
      <c r="DM19" s="4">
        <v>64</v>
      </c>
      <c r="DN19" s="4" t="s">
        <v>186</v>
      </c>
      <c r="DO19" s="4">
        <v>8.5882657480798492E-3</v>
      </c>
      <c r="DP19" s="4">
        <v>16</v>
      </c>
      <c r="DQ19" s="4">
        <v>0.1</v>
      </c>
      <c r="DR19" s="4">
        <v>8</v>
      </c>
      <c r="DS19" s="4">
        <v>13.623699999999999</v>
      </c>
      <c r="EB19" s="4" t="s">
        <v>141</v>
      </c>
      <c r="EC19" s="4" t="s">
        <v>202</v>
      </c>
      <c r="ED19" s="4">
        <v>6</v>
      </c>
      <c r="EE19" s="4">
        <v>2</v>
      </c>
      <c r="EF19" s="4">
        <v>16</v>
      </c>
      <c r="EG19" s="4">
        <v>2</v>
      </c>
      <c r="EH19" s="4">
        <v>41</v>
      </c>
      <c r="EI19" s="4">
        <v>7.3095398359129132E-4</v>
      </c>
      <c r="EJ19" s="4">
        <v>32</v>
      </c>
      <c r="EK19" s="4">
        <v>0.14184815819561261</v>
      </c>
      <c r="EL19" s="4" t="s">
        <v>214</v>
      </c>
      <c r="EM19" s="4">
        <v>9.5679999999999996</v>
      </c>
      <c r="EN19" s="4">
        <v>49.182899999999997</v>
      </c>
      <c r="EO19" s="4">
        <v>44.767699999999998</v>
      </c>
      <c r="EP19" s="4">
        <v>47.03</v>
      </c>
      <c r="EQ19" s="4">
        <v>-8.3979999999999997</v>
      </c>
      <c r="ER19" s="4">
        <v>-44.767719999999997</v>
      </c>
      <c r="ES19" s="4">
        <v>20.36683</v>
      </c>
      <c r="ET19" s="4">
        <v>0.49053000000000002</v>
      </c>
      <c r="EU19" s="4">
        <v>0.36609000000000003</v>
      </c>
      <c r="EV19" s="4" t="s">
        <v>143</v>
      </c>
    </row>
    <row r="20" spans="1:152" x14ac:dyDescent="0.3">
      <c r="B20" s="40" t="s">
        <v>215</v>
      </c>
      <c r="C20" s="4" t="s">
        <v>140</v>
      </c>
      <c r="D20" s="4">
        <v>3.5999999999999999E-3</v>
      </c>
      <c r="E20" s="4">
        <v>7.9306000000000001</v>
      </c>
      <c r="F20" s="4">
        <v>7.2337999999999996</v>
      </c>
      <c r="G20" s="12">
        <v>6.83</v>
      </c>
      <c r="H20" s="4">
        <v>-3.6852999999999998</v>
      </c>
      <c r="I20" s="4">
        <v>7.03355</v>
      </c>
      <c r="J20" s="4">
        <v>3.6638600000000001</v>
      </c>
      <c r="K20" s="4">
        <v>0.63876999999999995</v>
      </c>
      <c r="L20" s="4">
        <v>0.47313</v>
      </c>
      <c r="M20" s="4" t="s">
        <v>143</v>
      </c>
      <c r="N20" s="4" t="s">
        <v>140</v>
      </c>
      <c r="O20" s="4">
        <v>7.4481000000000002</v>
      </c>
      <c r="P20" s="4">
        <v>6.4846000000000004</v>
      </c>
      <c r="Q20" s="4">
        <v>6.35</v>
      </c>
      <c r="R20" s="4">
        <v>-3.1324999999999998</v>
      </c>
      <c r="S20" s="4">
        <v>-6.4846199999999996</v>
      </c>
      <c r="T20" s="4">
        <v>3.6638600000000001</v>
      </c>
      <c r="U20" s="4">
        <v>0.63876999999999995</v>
      </c>
      <c r="V20" s="4">
        <v>0.47313</v>
      </c>
      <c r="X20" s="4" t="s">
        <v>143</v>
      </c>
      <c r="Y20" s="4" t="s">
        <v>140</v>
      </c>
      <c r="Z20" s="4">
        <v>8.7729999999999997</v>
      </c>
      <c r="AA20" s="4">
        <v>7.4546000000000001</v>
      </c>
      <c r="AB20" s="4">
        <v>7.3</v>
      </c>
      <c r="AC20" s="4">
        <v>-4.7335000000000003</v>
      </c>
      <c r="AD20" s="4">
        <v>-7.4546200000000002</v>
      </c>
      <c r="AE20" s="4">
        <v>4.62547</v>
      </c>
      <c r="AF20" s="4">
        <v>0.33435999999999999</v>
      </c>
      <c r="AG20" s="4">
        <v>0.93689</v>
      </c>
      <c r="AH20" s="4">
        <v>3.2000000000000002E-3</v>
      </c>
      <c r="AI20" s="4" t="s">
        <v>143</v>
      </c>
      <c r="AJ20" s="4" t="s">
        <v>140</v>
      </c>
      <c r="AK20" s="4">
        <v>1.6000000000000001E-3</v>
      </c>
      <c r="AL20" s="4">
        <v>13.338800000000001</v>
      </c>
      <c r="AM20" s="4">
        <v>12.307700000000001</v>
      </c>
      <c r="AN20" s="4">
        <v>11.95</v>
      </c>
      <c r="AO20" s="4">
        <v>-12.254200000000001</v>
      </c>
      <c r="AP20" s="4">
        <v>-12.307740000000001</v>
      </c>
      <c r="AQ20" s="4">
        <v>5.1421999999999999</v>
      </c>
      <c r="AR20" s="4">
        <v>0.41635</v>
      </c>
      <c r="AS20" s="4">
        <v>0.13525000000000001</v>
      </c>
      <c r="AT20" s="4" t="s">
        <v>143</v>
      </c>
      <c r="AU20" s="10" t="s">
        <v>180</v>
      </c>
      <c r="AV20" s="4">
        <v>0</v>
      </c>
      <c r="AW20" s="4">
        <v>1</v>
      </c>
      <c r="AX20" s="4">
        <v>3</v>
      </c>
      <c r="AY20" s="4">
        <v>0.90359999999999996</v>
      </c>
      <c r="AZ20" s="4">
        <v>3.8538000000000001</v>
      </c>
      <c r="BA20" s="4">
        <v>3.2119</v>
      </c>
      <c r="BB20" s="4">
        <v>3.12</v>
      </c>
      <c r="BC20" s="4">
        <v>-0.10630000000000001</v>
      </c>
      <c r="BD20" s="4">
        <v>-0.83623000000000003</v>
      </c>
      <c r="BE20" s="4">
        <v>3.76193</v>
      </c>
      <c r="BF20" s="4">
        <v>0.77429999999999999</v>
      </c>
      <c r="BG20" s="4">
        <v>0.93298000000000003</v>
      </c>
      <c r="BH20" s="7" t="s">
        <v>143</v>
      </c>
      <c r="BI20" s="10" t="s">
        <v>181</v>
      </c>
      <c r="BJ20" s="4">
        <v>3</v>
      </c>
      <c r="BK20" s="4">
        <v>1</v>
      </c>
      <c r="BL20" s="4">
        <v>0</v>
      </c>
      <c r="BM20" s="4">
        <v>0.43890000000000001</v>
      </c>
      <c r="BN20" s="4">
        <v>3.8027000000000002</v>
      </c>
      <c r="BO20" s="4">
        <v>3.0476000000000001</v>
      </c>
      <c r="BP20" s="4">
        <v>2.96</v>
      </c>
      <c r="BQ20" s="4">
        <v>-7.7200000000000005E-2</v>
      </c>
      <c r="BR20" s="4">
        <v>-0.76378999999999997</v>
      </c>
      <c r="BS20" s="4">
        <v>3.7252200000000002</v>
      </c>
      <c r="BT20" s="4">
        <v>0.76227</v>
      </c>
      <c r="BU20" s="4">
        <v>0.83896000000000004</v>
      </c>
      <c r="BV20" s="7" t="s">
        <v>143</v>
      </c>
      <c r="BW20" s="10" t="s">
        <v>174</v>
      </c>
      <c r="BX20" s="17">
        <v>3</v>
      </c>
      <c r="BY20" s="17">
        <v>1</v>
      </c>
      <c r="BZ20" s="17">
        <v>0</v>
      </c>
      <c r="CA20" s="4">
        <v>0.40670000000000001</v>
      </c>
      <c r="CB20" s="4">
        <v>3.8027000000000002</v>
      </c>
      <c r="CC20" s="4">
        <v>3.0476000000000001</v>
      </c>
      <c r="CD20" s="4">
        <v>2.96</v>
      </c>
      <c r="CE20" s="4">
        <v>-7.7200000000000005E-2</v>
      </c>
      <c r="CF20" s="4">
        <v>-0.76378999999999997</v>
      </c>
      <c r="CG20" s="4">
        <v>3.7252200000000002</v>
      </c>
      <c r="CH20" s="4">
        <v>0.76227</v>
      </c>
      <c r="CI20" s="4">
        <v>0.83896000000000004</v>
      </c>
      <c r="CJ20" s="7" t="s">
        <v>143</v>
      </c>
      <c r="CK20" s="10" t="s">
        <v>208</v>
      </c>
      <c r="CL20" s="4">
        <v>0</v>
      </c>
      <c r="CM20" s="4">
        <v>1</v>
      </c>
      <c r="CN20" s="4">
        <v>6</v>
      </c>
      <c r="CO20" s="4" t="s">
        <v>216</v>
      </c>
      <c r="CP20" s="4">
        <v>4.8385999999999996</v>
      </c>
      <c r="CQ20" s="4">
        <v>4.2027999999999999</v>
      </c>
      <c r="CR20" s="4">
        <v>4.03</v>
      </c>
      <c r="CS20" s="4">
        <v>-2.5323000000000002</v>
      </c>
      <c r="CT20" s="4">
        <v>0.79352</v>
      </c>
      <c r="CU20" s="4">
        <v>4.7731000000000003</v>
      </c>
      <c r="CV20" s="4">
        <v>0.35066000000000003</v>
      </c>
      <c r="CW20" s="4">
        <v>0.33862999999999999</v>
      </c>
      <c r="CX20" s="7" t="s">
        <v>143</v>
      </c>
    </row>
    <row r="21" spans="1:152" x14ac:dyDescent="0.3">
      <c r="A21" s="4" t="s">
        <v>243</v>
      </c>
      <c r="B21" s="40" t="s">
        <v>217</v>
      </c>
      <c r="C21" s="4" t="s">
        <v>140</v>
      </c>
      <c r="E21" s="4">
        <v>6.2587000000000002</v>
      </c>
      <c r="F21" s="4">
        <v>5.6710000000000003</v>
      </c>
      <c r="G21" s="12">
        <v>5.71</v>
      </c>
      <c r="H21" s="4">
        <v>-1.8431999999999999</v>
      </c>
      <c r="I21" s="4">
        <v>-5.03925</v>
      </c>
      <c r="J21" s="4">
        <v>3.7117100000000001</v>
      </c>
      <c r="K21" s="4">
        <v>0.36895</v>
      </c>
      <c r="L21" s="4">
        <v>0.21672</v>
      </c>
      <c r="M21" s="4" t="s">
        <v>143</v>
      </c>
      <c r="N21" s="4" t="s">
        <v>140</v>
      </c>
      <c r="O21" s="4">
        <v>11.611499999999999</v>
      </c>
      <c r="P21" s="4">
        <v>11.0023</v>
      </c>
      <c r="Q21" s="4">
        <v>11.04</v>
      </c>
      <c r="R21" s="4">
        <v>-8.7866</v>
      </c>
      <c r="S21" s="4">
        <v>-11.00231</v>
      </c>
      <c r="T21" s="4">
        <v>3.7117100000000001</v>
      </c>
      <c r="U21" s="4">
        <v>0.36895</v>
      </c>
      <c r="V21" s="4">
        <v>0.21672</v>
      </c>
      <c r="W21" s="4">
        <v>1E-3</v>
      </c>
      <c r="X21" s="4" t="s">
        <v>143</v>
      </c>
      <c r="Y21" s="4" t="s">
        <v>140</v>
      </c>
      <c r="Z21" s="4">
        <v>10.7881</v>
      </c>
      <c r="AA21" s="4">
        <v>9.9677000000000007</v>
      </c>
      <c r="AB21" s="4">
        <v>10.02</v>
      </c>
      <c r="AC21" s="4">
        <v>-7.4478</v>
      </c>
      <c r="AD21" s="4">
        <v>-9.9676899999999993</v>
      </c>
      <c r="AE21" s="4">
        <v>4.1265999999999998</v>
      </c>
      <c r="AF21" s="4">
        <v>0.76554999999999995</v>
      </c>
      <c r="AG21" s="4">
        <v>0.55549000000000004</v>
      </c>
      <c r="AH21" s="4">
        <v>2E-3</v>
      </c>
      <c r="AI21" s="4" t="s">
        <v>143</v>
      </c>
      <c r="AJ21" s="4" t="s">
        <v>140</v>
      </c>
      <c r="AL21" s="4">
        <v>15.754</v>
      </c>
      <c r="AM21" s="4">
        <v>14.8071</v>
      </c>
      <c r="AN21" s="4">
        <v>14.86</v>
      </c>
      <c r="AO21" s="4">
        <v>-17.015000000000001</v>
      </c>
      <c r="AP21" s="4">
        <v>-14.8071</v>
      </c>
      <c r="AQ21" s="4">
        <v>5.3794500000000003</v>
      </c>
      <c r="AR21" s="4">
        <v>0.11673</v>
      </c>
      <c r="AS21" s="4">
        <v>3.2480000000000002E-2</v>
      </c>
      <c r="AT21" s="4" t="s">
        <v>141</v>
      </c>
      <c r="AU21" s="10" t="s">
        <v>180</v>
      </c>
      <c r="AV21" s="4">
        <v>0</v>
      </c>
      <c r="AW21" s="4">
        <v>1</v>
      </c>
      <c r="AX21" s="4">
        <v>3</v>
      </c>
      <c r="AY21" s="4">
        <v>0.99280000000000002</v>
      </c>
      <c r="AZ21" s="4">
        <v>3.5608</v>
      </c>
      <c r="BA21" s="4">
        <v>2.7532000000000001</v>
      </c>
      <c r="BB21" s="4">
        <v>2.73</v>
      </c>
      <c r="BC21" s="4">
        <v>7.9699999999999993E-2</v>
      </c>
      <c r="BD21" s="4">
        <v>-1.85581</v>
      </c>
      <c r="BE21" s="4">
        <v>3.0389699999999999</v>
      </c>
      <c r="BF21" s="4">
        <v>0.99648999999999999</v>
      </c>
      <c r="BG21" s="4">
        <v>0.94784000000000002</v>
      </c>
      <c r="BH21" s="7" t="s">
        <v>143</v>
      </c>
      <c r="BI21" s="10" t="s">
        <v>150</v>
      </c>
      <c r="BJ21" s="4">
        <v>1</v>
      </c>
      <c r="BK21" s="4">
        <v>1</v>
      </c>
      <c r="BL21" s="4">
        <v>0</v>
      </c>
      <c r="BM21" s="4">
        <v>0.1454</v>
      </c>
      <c r="BN21" s="4">
        <v>3.3449</v>
      </c>
      <c r="BO21" s="4">
        <v>2.6837</v>
      </c>
      <c r="BP21" s="4">
        <v>2.66</v>
      </c>
      <c r="BQ21" s="4">
        <v>0.18790000000000001</v>
      </c>
      <c r="BR21" s="4">
        <v>-1.46302</v>
      </c>
      <c r="BS21" s="4">
        <v>3.0080200000000001</v>
      </c>
      <c r="BT21" s="4">
        <v>0.96564000000000005</v>
      </c>
      <c r="BU21" s="4">
        <v>0.84433000000000002</v>
      </c>
      <c r="BV21" s="7" t="s">
        <v>143</v>
      </c>
      <c r="BW21" s="21" t="s">
        <v>188</v>
      </c>
      <c r="BX21" s="19">
        <v>2</v>
      </c>
      <c r="BY21" s="19">
        <v>1</v>
      </c>
      <c r="BZ21" s="19">
        <v>1</v>
      </c>
      <c r="CA21" s="4">
        <v>0.90649999999999997</v>
      </c>
      <c r="CB21" s="4">
        <v>3.2746</v>
      </c>
      <c r="CC21" s="4">
        <v>2.5829</v>
      </c>
      <c r="CD21" s="4">
        <v>2.56</v>
      </c>
      <c r="CE21" s="4">
        <v>0.22170000000000001</v>
      </c>
      <c r="CF21" s="4">
        <v>-1.7820400000000001</v>
      </c>
      <c r="CG21" s="4">
        <v>2.7472500000000002</v>
      </c>
      <c r="CH21" s="4">
        <v>0.99387000000000003</v>
      </c>
      <c r="CI21" s="4">
        <v>0.95159000000000005</v>
      </c>
      <c r="CJ21" s="7" t="s">
        <v>143</v>
      </c>
      <c r="CK21" s="10" t="s">
        <v>208</v>
      </c>
      <c r="CL21" s="4">
        <v>0</v>
      </c>
      <c r="CM21" s="4">
        <v>1</v>
      </c>
      <c r="CN21" s="4">
        <v>6</v>
      </c>
      <c r="CO21" s="4" t="s">
        <v>218</v>
      </c>
      <c r="CP21" s="4">
        <v>5.1181999999999999</v>
      </c>
      <c r="CQ21" s="4">
        <v>4.5911999999999997</v>
      </c>
      <c r="CR21" s="4">
        <v>4.6500000000000004</v>
      </c>
      <c r="CS21" s="4">
        <v>-11.4391</v>
      </c>
      <c r="CT21" s="4">
        <v>-0.10999</v>
      </c>
      <c r="CU21" s="4">
        <v>5.1169799999999999</v>
      </c>
      <c r="CV21" s="4">
        <v>0.12756999999999999</v>
      </c>
      <c r="CW21" s="4">
        <v>6.6369999999999998E-2</v>
      </c>
      <c r="CX21" s="7" t="s">
        <v>143</v>
      </c>
      <c r="CY21" s="4" t="s">
        <v>267</v>
      </c>
      <c r="CZ21" s="4"/>
      <c r="DA21" s="4" t="s">
        <v>228</v>
      </c>
      <c r="DB21" s="33">
        <v>1.3013999999999999</v>
      </c>
      <c r="DC21" s="4"/>
      <c r="DD21" s="33">
        <v>12100</v>
      </c>
      <c r="DE21" s="4">
        <v>-8.0399999999999999E-2</v>
      </c>
      <c r="DF21" s="4"/>
      <c r="DG21" s="4"/>
      <c r="DH21" s="4" t="s">
        <v>268</v>
      </c>
      <c r="DI21" s="4" t="s">
        <v>269</v>
      </c>
      <c r="DJ21" s="4" t="s">
        <v>143</v>
      </c>
      <c r="DK21" s="4" t="s">
        <v>202</v>
      </c>
      <c r="DL21" s="4">
        <v>1</v>
      </c>
      <c r="DM21" s="4">
        <v>53</v>
      </c>
      <c r="DN21" s="4" t="s">
        <v>186</v>
      </c>
      <c r="DO21" s="4">
        <v>1.4096175149815859E-4</v>
      </c>
      <c r="DP21" s="4">
        <v>16</v>
      </c>
      <c r="DQ21" s="4">
        <v>0.3</v>
      </c>
      <c r="DR21" s="4">
        <v>8</v>
      </c>
      <c r="DS21" s="4">
        <v>6.6344000000000003</v>
      </c>
      <c r="EB21" s="4" t="s">
        <v>141</v>
      </c>
    </row>
    <row r="22" spans="1:152" x14ac:dyDescent="0.3">
      <c r="B22" s="40"/>
      <c r="G22" s="12"/>
      <c r="BW22" s="21"/>
      <c r="BX22" s="19"/>
      <c r="BY22" s="19"/>
      <c r="BZ22" s="19"/>
      <c r="CY22" s="10" t="s">
        <v>266</v>
      </c>
      <c r="CZ22" s="32">
        <v>1</v>
      </c>
      <c r="DA22" s="32" t="s">
        <v>212</v>
      </c>
      <c r="DB22" s="32">
        <v>1.5721000000000001</v>
      </c>
      <c r="DC22" s="32">
        <v>1.4132</v>
      </c>
      <c r="DD22" s="32">
        <v>1.42</v>
      </c>
      <c r="DE22" s="32">
        <v>-0.5766</v>
      </c>
      <c r="DF22" s="32">
        <v>0.55450999999999995</v>
      </c>
      <c r="DG22" s="32">
        <v>1.4710700000000001</v>
      </c>
      <c r="DH22" s="32">
        <v>0.24290999999999999</v>
      </c>
      <c r="DI22" s="32">
        <v>0.65734000000000004</v>
      </c>
      <c r="DJ22" s="7" t="s">
        <v>143</v>
      </c>
    </row>
    <row r="23" spans="1:152" x14ac:dyDescent="0.3">
      <c r="B23" s="40" t="s">
        <v>219</v>
      </c>
      <c r="C23" s="4" t="s">
        <v>140</v>
      </c>
      <c r="E23" s="4">
        <v>12.802</v>
      </c>
      <c r="F23" s="4">
        <v>11.856299999999999</v>
      </c>
      <c r="G23" s="4">
        <v>12.2</v>
      </c>
      <c r="H23" s="4">
        <v>-6.0284000000000004</v>
      </c>
      <c r="I23" s="4">
        <v>-11.856310000000001</v>
      </c>
      <c r="J23" s="4">
        <v>4.8289099999999996</v>
      </c>
      <c r="K23" s="4">
        <v>6.8059999999999996E-2</v>
      </c>
      <c r="L23" s="4">
        <v>0.10203</v>
      </c>
      <c r="M23" s="4" t="s">
        <v>143</v>
      </c>
      <c r="N23" s="4" t="s">
        <v>140</v>
      </c>
      <c r="O23" s="4">
        <v>14.523199999999999</v>
      </c>
      <c r="P23" s="4">
        <v>13.696899999999999</v>
      </c>
      <c r="Q23" s="4">
        <v>14.06</v>
      </c>
      <c r="R23" s="4">
        <v>-8.0454000000000008</v>
      </c>
      <c r="S23" s="4">
        <v>-13.69692</v>
      </c>
      <c r="T23" s="4">
        <v>4.8289099999999996</v>
      </c>
      <c r="U23" s="4">
        <v>6.8059999999999996E-2</v>
      </c>
      <c r="V23" s="4">
        <v>0.10203</v>
      </c>
      <c r="W23" s="4">
        <v>2E-3</v>
      </c>
      <c r="X23" s="4" t="s">
        <v>143</v>
      </c>
      <c r="Y23" s="4" t="s">
        <v>140</v>
      </c>
      <c r="Z23" s="4">
        <v>12.8086</v>
      </c>
      <c r="AA23" s="4">
        <v>11.6754</v>
      </c>
      <c r="AB23" s="4">
        <v>12.02</v>
      </c>
      <c r="AC23" s="4">
        <v>-6.0357000000000003</v>
      </c>
      <c r="AD23" s="4">
        <v>-11.675380000000001</v>
      </c>
      <c r="AE23" s="4">
        <v>5.2674599999999998</v>
      </c>
      <c r="AF23" s="4">
        <v>0.12805</v>
      </c>
      <c r="AG23" s="4">
        <v>0.26823000000000002</v>
      </c>
      <c r="AH23" s="4">
        <v>1.1000000000000001E-3</v>
      </c>
      <c r="AI23" s="4" t="s">
        <v>143</v>
      </c>
      <c r="AJ23" s="4" t="s">
        <v>140</v>
      </c>
      <c r="AK23" s="4">
        <v>7.0000000000000001E-3</v>
      </c>
      <c r="AL23" s="4">
        <v>17.608599999999999</v>
      </c>
      <c r="AM23" s="4">
        <v>16.510000000000002</v>
      </c>
      <c r="AN23" s="4">
        <v>16.96</v>
      </c>
      <c r="AO23" s="4">
        <v>-12.297000000000001</v>
      </c>
      <c r="AP23" s="4">
        <v>-16.51005</v>
      </c>
      <c r="AQ23" s="4">
        <v>6.1222300000000001</v>
      </c>
      <c r="AR23" s="4">
        <v>0.13850000000000001</v>
      </c>
      <c r="AS23" s="4">
        <v>2.8309999999999998E-2</v>
      </c>
      <c r="AT23" s="4" t="s">
        <v>141</v>
      </c>
      <c r="AU23" s="10" t="s">
        <v>173</v>
      </c>
      <c r="AV23" s="4">
        <v>0</v>
      </c>
      <c r="AW23" s="4">
        <v>1</v>
      </c>
      <c r="AX23" s="4">
        <v>4</v>
      </c>
      <c r="AY23" s="4">
        <v>1.8653999999999999</v>
      </c>
      <c r="AZ23" s="4">
        <v>4.3529</v>
      </c>
      <c r="BA23" s="4">
        <v>3.5194999999999999</v>
      </c>
      <c r="BB23" s="4">
        <v>3.51</v>
      </c>
      <c r="BC23" s="4">
        <v>0.18740000000000001</v>
      </c>
      <c r="BD23" s="4">
        <v>-2.0176599999999998</v>
      </c>
      <c r="BE23" s="4">
        <v>3.8570899999999999</v>
      </c>
      <c r="BF23" s="4">
        <v>0.93032999999999999</v>
      </c>
      <c r="BG23" s="4">
        <v>0.41359000000000001</v>
      </c>
      <c r="BH23" s="7" t="s">
        <v>143</v>
      </c>
      <c r="BI23" s="10" t="s">
        <v>150</v>
      </c>
      <c r="BJ23" s="4">
        <v>1</v>
      </c>
      <c r="BK23" s="4">
        <v>1</v>
      </c>
      <c r="BL23" s="4">
        <v>0</v>
      </c>
      <c r="BM23" s="4">
        <v>0.18790000000000001</v>
      </c>
      <c r="BN23" s="4">
        <v>3.9756999999999998</v>
      </c>
      <c r="BO23" s="4">
        <v>3.4611000000000001</v>
      </c>
      <c r="BP23" s="4">
        <v>3.48</v>
      </c>
      <c r="BQ23" s="4">
        <v>0.3221</v>
      </c>
      <c r="BR23" s="4">
        <v>-1.9355800000000001</v>
      </c>
      <c r="BS23" s="4">
        <v>3.4727700000000001</v>
      </c>
      <c r="BT23" s="4">
        <v>0.81579000000000002</v>
      </c>
      <c r="BU23" s="4">
        <v>0.83009999999999995</v>
      </c>
      <c r="BV23" s="7" t="s">
        <v>143</v>
      </c>
      <c r="BW23" s="10" t="s">
        <v>220</v>
      </c>
      <c r="BX23" s="17">
        <v>1</v>
      </c>
      <c r="BY23" s="17">
        <v>1</v>
      </c>
      <c r="BZ23" s="17">
        <v>0</v>
      </c>
      <c r="CA23" s="4">
        <v>0.16439999999999999</v>
      </c>
      <c r="CB23" s="4">
        <v>3.9756999999999998</v>
      </c>
      <c r="CC23" s="4">
        <v>3.4611000000000001</v>
      </c>
      <c r="CD23" s="4">
        <v>3.48</v>
      </c>
      <c r="CE23" s="4">
        <v>0.3221</v>
      </c>
      <c r="CF23" s="4">
        <v>-1.9355800000000001</v>
      </c>
      <c r="CG23" s="4">
        <v>3.4727700000000001</v>
      </c>
      <c r="CH23" s="4">
        <v>0.81579000000000002</v>
      </c>
      <c r="CI23" s="4">
        <v>0.83009999999999995</v>
      </c>
      <c r="CJ23" s="7" t="s">
        <v>143</v>
      </c>
      <c r="CK23" s="10" t="s">
        <v>208</v>
      </c>
      <c r="CL23" s="4">
        <v>0</v>
      </c>
      <c r="CM23" s="4">
        <v>1</v>
      </c>
      <c r="CN23" s="4">
        <v>6</v>
      </c>
      <c r="CO23" s="4" t="s">
        <v>221</v>
      </c>
      <c r="CP23" s="4">
        <v>4.8608000000000002</v>
      </c>
      <c r="CQ23" s="4">
        <v>3.9506000000000001</v>
      </c>
      <c r="CR23" s="4">
        <v>4.12</v>
      </c>
      <c r="CS23" s="4">
        <v>-2.9134000000000002</v>
      </c>
      <c r="CT23" s="4">
        <v>1.6177600000000001</v>
      </c>
      <c r="CU23" s="4">
        <v>4.5836499999999996</v>
      </c>
      <c r="CV23" s="4">
        <v>0.33019999999999999</v>
      </c>
      <c r="CW23" s="4">
        <v>2.707E-2</v>
      </c>
      <c r="CX23" s="7" t="s">
        <v>141</v>
      </c>
    </row>
    <row r="24" spans="1:152" x14ac:dyDescent="0.3">
      <c r="A24" s="4" t="s">
        <v>243</v>
      </c>
      <c r="B24" s="40" t="s">
        <v>222</v>
      </c>
      <c r="C24" s="4" t="s">
        <v>140</v>
      </c>
      <c r="D24" s="4">
        <v>2E-3</v>
      </c>
      <c r="E24" s="4">
        <v>1491122.4790000001</v>
      </c>
      <c r="F24" s="4">
        <v>1208538.0294999999</v>
      </c>
      <c r="G24" s="4">
        <v>7.27</v>
      </c>
      <c r="H24" s="4">
        <v>-0.1071</v>
      </c>
      <c r="I24" s="4">
        <v>-463768.56829000002</v>
      </c>
      <c r="J24" s="4">
        <v>1417167.9372400001</v>
      </c>
      <c r="K24" s="4">
        <v>0.51366000000000001</v>
      </c>
      <c r="L24" s="4">
        <v>4.3189999999999999E-2</v>
      </c>
      <c r="M24" s="4" t="s">
        <v>141</v>
      </c>
      <c r="N24" s="4" t="s">
        <v>140</v>
      </c>
      <c r="O24" s="4">
        <v>1436498.0721</v>
      </c>
      <c r="P24" s="4">
        <v>1190930.0922999999</v>
      </c>
      <c r="Q24" s="4">
        <v>7.08</v>
      </c>
      <c r="R24" s="4">
        <v>-2.75E-2</v>
      </c>
      <c r="S24" s="4">
        <v>-234865.38462</v>
      </c>
      <c r="T24" s="4">
        <v>1417167.9372400001</v>
      </c>
      <c r="U24" s="4">
        <v>0.51366000000000001</v>
      </c>
      <c r="V24" s="4">
        <v>4.3189999999999999E-2</v>
      </c>
      <c r="W24" s="4">
        <v>1.1000000000000001E-3</v>
      </c>
      <c r="X24" s="4" t="s">
        <v>141</v>
      </c>
      <c r="Y24" s="4" t="s">
        <v>140</v>
      </c>
      <c r="Z24" s="4">
        <v>3141168.7548000002</v>
      </c>
      <c r="AA24" s="4">
        <v>2591144.6923000002</v>
      </c>
      <c r="AB24" s="4">
        <v>15.5</v>
      </c>
      <c r="AC24" s="4">
        <v>-3.9129</v>
      </c>
      <c r="AD24" s="4">
        <v>-2454470.9230800001</v>
      </c>
      <c r="AE24" s="4">
        <v>1960233.0560600001</v>
      </c>
      <c r="AF24" s="4">
        <v>0.53986999999999996</v>
      </c>
      <c r="AG24" s="4">
        <v>0.78942999999999997</v>
      </c>
      <c r="AH24" s="4">
        <v>1.4E-3</v>
      </c>
      <c r="AI24" s="4" t="s">
        <v>143</v>
      </c>
      <c r="AJ24" s="4" t="s">
        <v>140</v>
      </c>
      <c r="AL24" s="4">
        <v>1851392.3318</v>
      </c>
      <c r="AM24" s="4">
        <v>1480704.9417000001</v>
      </c>
      <c r="AN24" s="4">
        <v>8.98</v>
      </c>
      <c r="AO24" s="4">
        <v>-0.70669999999999999</v>
      </c>
      <c r="AP24" s="4">
        <v>-784999.17628000001</v>
      </c>
      <c r="AQ24" s="4">
        <v>1676731.89852</v>
      </c>
      <c r="AR24" s="4">
        <v>0.42917</v>
      </c>
      <c r="AS24" s="4">
        <v>1.602E-2</v>
      </c>
      <c r="AT24" s="4" t="s">
        <v>141</v>
      </c>
      <c r="AU24" s="10" t="s">
        <v>173</v>
      </c>
      <c r="AV24" s="4">
        <v>0</v>
      </c>
      <c r="AW24" s="4">
        <v>1</v>
      </c>
      <c r="AX24" s="4">
        <v>4</v>
      </c>
      <c r="AY24" s="4">
        <v>1.3322000000000001</v>
      </c>
      <c r="AZ24" s="4">
        <v>1058850.3665</v>
      </c>
      <c r="BA24" s="4">
        <v>790396.3223</v>
      </c>
      <c r="BB24" s="4">
        <v>4.7</v>
      </c>
      <c r="BC24" s="4">
        <v>0.44180000000000003</v>
      </c>
      <c r="BD24" s="4">
        <v>-297971.89490000001</v>
      </c>
      <c r="BE24" s="4">
        <v>1016059.47093</v>
      </c>
      <c r="BF24" s="4">
        <v>0.17133999999999999</v>
      </c>
      <c r="BG24" s="4">
        <v>0.5212</v>
      </c>
      <c r="BH24" s="7" t="s">
        <v>143</v>
      </c>
      <c r="BI24" s="10" t="s">
        <v>168</v>
      </c>
      <c r="BJ24" s="4">
        <v>4</v>
      </c>
      <c r="BK24" s="4">
        <v>1</v>
      </c>
      <c r="BL24" s="4">
        <v>0</v>
      </c>
      <c r="BM24" s="4">
        <v>0.77759999999999996</v>
      </c>
      <c r="BN24" s="4">
        <v>1056145.5038000001</v>
      </c>
      <c r="BO24" s="4">
        <v>772217.5808</v>
      </c>
      <c r="BP24" s="4">
        <v>4.6100000000000003</v>
      </c>
      <c r="BQ24" s="4">
        <v>0.4446</v>
      </c>
      <c r="BR24" s="4">
        <v>-298208.72076</v>
      </c>
      <c r="BS24" s="4">
        <v>1013170.70828</v>
      </c>
      <c r="BT24" s="4">
        <v>8.6050000000000001E-2</v>
      </c>
      <c r="BU24" s="4">
        <v>0.54766000000000004</v>
      </c>
      <c r="BV24" s="7" t="s">
        <v>143</v>
      </c>
      <c r="BW24" s="18" t="s">
        <v>204</v>
      </c>
      <c r="BX24" s="19">
        <v>3</v>
      </c>
      <c r="BY24" s="19">
        <v>1</v>
      </c>
      <c r="BZ24" s="19">
        <v>2</v>
      </c>
      <c r="CA24" s="4">
        <v>2.7338</v>
      </c>
      <c r="CB24" s="4">
        <v>994927.32250000001</v>
      </c>
      <c r="CC24" s="4">
        <v>762047.0148</v>
      </c>
      <c r="CD24" s="4">
        <v>4.53</v>
      </c>
      <c r="CE24" s="4">
        <v>0.5071</v>
      </c>
      <c r="CF24" s="4">
        <v>-298310.72749999998</v>
      </c>
      <c r="CG24" s="4">
        <v>949152.82593000005</v>
      </c>
      <c r="CH24" s="4">
        <v>0.66313</v>
      </c>
      <c r="CI24" s="4">
        <v>0.86194999999999999</v>
      </c>
      <c r="CJ24" s="7" t="s">
        <v>143</v>
      </c>
      <c r="CK24" s="10" t="s">
        <v>223</v>
      </c>
      <c r="CL24" s="4">
        <v>1</v>
      </c>
      <c r="CM24" s="4">
        <v>1</v>
      </c>
      <c r="CN24" s="4">
        <v>6</v>
      </c>
      <c r="CO24" s="4" t="s">
        <v>224</v>
      </c>
      <c r="CP24" s="4">
        <v>2304933.7853000001</v>
      </c>
      <c r="CQ24" s="4">
        <v>1890725.9306999999</v>
      </c>
      <c r="CR24" s="23">
        <v>12.03</v>
      </c>
      <c r="CS24" s="4">
        <v>-3.6107</v>
      </c>
      <c r="CT24" s="4">
        <v>-751332.84710000001</v>
      </c>
      <c r="CU24" s="4">
        <v>2179040.7769399998</v>
      </c>
      <c r="CV24" s="4">
        <v>0.95825000000000005</v>
      </c>
      <c r="CW24" s="4">
        <v>0.45617000000000002</v>
      </c>
      <c r="CX24" s="7" t="s">
        <v>143</v>
      </c>
    </row>
    <row r="25" spans="1:152" x14ac:dyDescent="0.3">
      <c r="B25" s="40" t="s">
        <v>225</v>
      </c>
      <c r="C25" s="4" t="s">
        <v>140</v>
      </c>
      <c r="D25" s="4">
        <v>3.8999999999999998E-3</v>
      </c>
      <c r="E25" s="4">
        <v>1577.6769999999999</v>
      </c>
      <c r="F25" s="4">
        <v>1557.9155000000001</v>
      </c>
      <c r="G25" s="4">
        <v>28.73</v>
      </c>
      <c r="H25" s="4">
        <v>-39.169600000000003</v>
      </c>
      <c r="I25" s="4">
        <v>1557.91554</v>
      </c>
      <c r="J25" s="4">
        <v>248.92537999999999</v>
      </c>
      <c r="K25" s="4">
        <v>0.13164000000000001</v>
      </c>
      <c r="L25" s="4">
        <v>0.46339999999999998</v>
      </c>
      <c r="M25" s="4" t="s">
        <v>143</v>
      </c>
      <c r="N25" s="4" t="s">
        <v>140</v>
      </c>
      <c r="O25" s="4">
        <v>393.9545</v>
      </c>
      <c r="P25" s="4">
        <v>357.17689999999999</v>
      </c>
      <c r="Q25" s="4">
        <v>6.54</v>
      </c>
      <c r="R25" s="4">
        <v>-1.5046999999999999</v>
      </c>
      <c r="S25" s="4">
        <v>305.34615000000002</v>
      </c>
      <c r="T25" s="4">
        <v>248.92537999999999</v>
      </c>
      <c r="U25" s="4">
        <v>0.13164000000000001</v>
      </c>
      <c r="V25" s="4">
        <v>0.46339999999999998</v>
      </c>
      <c r="X25" s="4" t="s">
        <v>143</v>
      </c>
      <c r="Y25" s="4" t="s">
        <v>140</v>
      </c>
      <c r="Z25" s="4">
        <v>304.97250000000003</v>
      </c>
      <c r="AA25" s="4">
        <v>282.61540000000002</v>
      </c>
      <c r="AB25" s="4">
        <v>5.24</v>
      </c>
      <c r="AC25" s="4">
        <v>-0.501</v>
      </c>
      <c r="AD25" s="4">
        <v>189.96923000000001</v>
      </c>
      <c r="AE25" s="4">
        <v>238.57899</v>
      </c>
      <c r="AF25" s="4">
        <v>3.9550000000000002E-2</v>
      </c>
      <c r="AG25" s="4">
        <v>0.40755999999999998</v>
      </c>
      <c r="AH25" s="4">
        <v>1.1000000000000001E-3</v>
      </c>
      <c r="AI25" s="4" t="s">
        <v>143</v>
      </c>
      <c r="AJ25" s="4" t="s">
        <v>140</v>
      </c>
      <c r="AL25" s="4">
        <v>399.90859999999998</v>
      </c>
      <c r="AM25" s="4">
        <v>288.70800000000003</v>
      </c>
      <c r="AN25" s="4">
        <v>5.53</v>
      </c>
      <c r="AO25" s="4">
        <v>-1.581</v>
      </c>
      <c r="AP25" s="4">
        <v>-118.35800999999999</v>
      </c>
      <c r="AQ25" s="4">
        <v>381.99254000000002</v>
      </c>
      <c r="AR25" s="4">
        <v>0.26627000000000001</v>
      </c>
      <c r="AS25" s="4">
        <v>0.44277</v>
      </c>
      <c r="AT25" s="4" t="s">
        <v>143</v>
      </c>
      <c r="AU25" s="10" t="s">
        <v>173</v>
      </c>
      <c r="AV25" s="4">
        <v>0</v>
      </c>
      <c r="AW25" s="4">
        <v>1</v>
      </c>
      <c r="AX25" s="4">
        <v>4</v>
      </c>
      <c r="AY25" s="4">
        <v>3.3151000000000002</v>
      </c>
      <c r="AZ25" s="4">
        <v>319.06380000000001</v>
      </c>
      <c r="BA25" s="4">
        <v>247.90969999999999</v>
      </c>
      <c r="BB25" s="4">
        <v>4.68</v>
      </c>
      <c r="BC25" s="4">
        <v>-0.64290000000000003</v>
      </c>
      <c r="BD25" s="4">
        <v>-6.5230800000000002</v>
      </c>
      <c r="BE25" s="4">
        <v>318.99707999999998</v>
      </c>
      <c r="BF25" s="4">
        <v>0.58084000000000002</v>
      </c>
      <c r="BG25" s="4">
        <v>0.57121</v>
      </c>
      <c r="BH25" s="7" t="s">
        <v>143</v>
      </c>
      <c r="BI25" s="10" t="s">
        <v>226</v>
      </c>
      <c r="BJ25" s="4">
        <v>2</v>
      </c>
      <c r="BK25" s="4">
        <v>1</v>
      </c>
      <c r="BL25" s="4">
        <v>0</v>
      </c>
      <c r="BM25" s="4">
        <v>0.62119999999999997</v>
      </c>
      <c r="BN25" s="4">
        <v>332.91759999999999</v>
      </c>
      <c r="BO25" s="4">
        <v>255.11019999999999</v>
      </c>
      <c r="BP25" s="4">
        <v>4.84</v>
      </c>
      <c r="BQ25" s="4">
        <v>-0.78869999999999996</v>
      </c>
      <c r="BR25" s="4">
        <v>-19.695699999999999</v>
      </c>
      <c r="BS25" s="4">
        <v>332.33452</v>
      </c>
      <c r="BT25" s="4">
        <v>0.45950000000000002</v>
      </c>
      <c r="BU25" s="4">
        <v>0.52447999999999995</v>
      </c>
      <c r="BV25" s="7" t="s">
        <v>143</v>
      </c>
      <c r="BW25" s="10" t="s">
        <v>160</v>
      </c>
      <c r="BX25" s="9">
        <v>0</v>
      </c>
      <c r="BY25" s="9">
        <v>1</v>
      </c>
      <c r="BZ25" s="9">
        <v>1</v>
      </c>
      <c r="CA25" s="4">
        <v>0.4375</v>
      </c>
      <c r="CB25" s="4">
        <v>325.00979999999998</v>
      </c>
      <c r="CC25" s="4">
        <v>250.05179999999999</v>
      </c>
      <c r="CD25" s="4">
        <v>4.74</v>
      </c>
      <c r="CE25" s="4">
        <v>-0.70469999999999999</v>
      </c>
      <c r="CF25" s="4">
        <v>-18.047989999999999</v>
      </c>
      <c r="CG25" s="4">
        <v>324.50833999999998</v>
      </c>
      <c r="CH25" s="4">
        <v>0.50743000000000005</v>
      </c>
      <c r="CI25" s="4">
        <v>0.56699999999999995</v>
      </c>
      <c r="CJ25" s="7" t="s">
        <v>143</v>
      </c>
      <c r="CK25" s="5" t="s">
        <v>183</v>
      </c>
      <c r="CL25" s="4">
        <v>2</v>
      </c>
      <c r="CM25" s="4">
        <v>1</v>
      </c>
      <c r="CN25" s="4">
        <v>6</v>
      </c>
      <c r="CO25" s="4" t="s">
        <v>227</v>
      </c>
      <c r="CP25" s="4">
        <v>220.261</v>
      </c>
      <c r="CQ25" s="4">
        <v>153.72300000000001</v>
      </c>
      <c r="CR25" s="4">
        <v>2.86</v>
      </c>
      <c r="CS25" s="4">
        <v>-1.0517000000000001</v>
      </c>
      <c r="CT25" s="4">
        <v>-16.562270000000002</v>
      </c>
      <c r="CU25" s="4">
        <v>219.63745</v>
      </c>
      <c r="CV25" s="4">
        <v>0.18515999999999999</v>
      </c>
      <c r="CW25" s="4">
        <v>0.39005000000000001</v>
      </c>
      <c r="CX25" s="7" t="s">
        <v>143</v>
      </c>
    </row>
    <row r="26" spans="1:152" x14ac:dyDescent="0.3">
      <c r="A26" s="4" t="s">
        <v>243</v>
      </c>
      <c r="B26" s="40" t="s">
        <v>228</v>
      </c>
      <c r="C26" s="4" t="s">
        <v>140</v>
      </c>
      <c r="D26" s="4">
        <v>1E-3</v>
      </c>
      <c r="E26" s="4">
        <v>0.49630000000000002</v>
      </c>
      <c r="F26" s="4">
        <v>0.49209999999999998</v>
      </c>
      <c r="G26" s="4">
        <v>26.19</v>
      </c>
      <c r="H26" s="4">
        <v>-57.4041</v>
      </c>
      <c r="I26" s="4">
        <v>-0.49207000000000001</v>
      </c>
      <c r="J26" s="4">
        <v>6.4949999999999994E-2</v>
      </c>
      <c r="K26" s="4">
        <v>0.27273999999999998</v>
      </c>
      <c r="L26" s="4">
        <v>0.54569000000000001</v>
      </c>
      <c r="M26" s="4" t="s">
        <v>143</v>
      </c>
      <c r="N26" s="4" t="s">
        <v>140</v>
      </c>
      <c r="O26" s="4">
        <v>6.5100000000000005E-2</v>
      </c>
      <c r="P26" s="4">
        <v>5.21E-2</v>
      </c>
      <c r="Q26" s="12">
        <v>2.73</v>
      </c>
      <c r="R26" s="4">
        <v>-4.7999999999999996E-3</v>
      </c>
      <c r="S26" s="4">
        <v>-4.4900000000000001E-3</v>
      </c>
      <c r="T26" s="4">
        <v>6.4949999999999994E-2</v>
      </c>
      <c r="U26" s="4">
        <v>0.27273999999999998</v>
      </c>
      <c r="V26" s="4">
        <v>0.54569000000000001</v>
      </c>
      <c r="W26" s="4">
        <v>4.4000000000000003E-3</v>
      </c>
      <c r="X26" s="4" t="s">
        <v>143</v>
      </c>
      <c r="Y26" s="4" t="s">
        <v>140</v>
      </c>
      <c r="Z26" s="4">
        <v>8.3199999999999996E-2</v>
      </c>
      <c r="AA26" s="4">
        <v>6.5199999999999994E-2</v>
      </c>
      <c r="AB26" s="4">
        <v>3.49</v>
      </c>
      <c r="AC26" s="4">
        <v>-0.64280000000000004</v>
      </c>
      <c r="AD26" s="4">
        <v>-3.388E-2</v>
      </c>
      <c r="AE26" s="4">
        <v>7.6039999999999996E-2</v>
      </c>
      <c r="AF26" s="4">
        <v>9.9140000000000006E-2</v>
      </c>
      <c r="AG26" s="4">
        <v>0.18479999999999999</v>
      </c>
      <c r="AH26" s="4">
        <v>1.1000000000000001E-3</v>
      </c>
      <c r="AI26" s="4" t="s">
        <v>143</v>
      </c>
      <c r="AJ26" s="4" t="s">
        <v>140</v>
      </c>
      <c r="AK26" s="4">
        <v>2E-3</v>
      </c>
      <c r="AL26" s="4">
        <v>0.23569999999999999</v>
      </c>
      <c r="AM26" s="4">
        <v>0.18590000000000001</v>
      </c>
      <c r="AN26" s="4">
        <v>9.6300000000000008</v>
      </c>
      <c r="AO26" s="4">
        <v>-12.169700000000001</v>
      </c>
      <c r="AP26" s="4">
        <v>0.18590999999999999</v>
      </c>
      <c r="AQ26" s="4">
        <v>0.14488000000000001</v>
      </c>
      <c r="AR26" s="4">
        <v>0.57789999999999997</v>
      </c>
      <c r="AS26" s="4">
        <v>0.24457000000000001</v>
      </c>
      <c r="AT26" s="4" t="s">
        <v>143</v>
      </c>
      <c r="AU26" s="10" t="s">
        <v>173</v>
      </c>
      <c r="AV26" s="4">
        <v>0</v>
      </c>
      <c r="AW26" s="4">
        <v>1</v>
      </c>
      <c r="AX26" s="4">
        <v>4</v>
      </c>
      <c r="AY26" s="4">
        <v>1.9355</v>
      </c>
      <c r="AZ26" s="4">
        <v>7.4899999999999994E-2</v>
      </c>
      <c r="BA26" s="4">
        <v>6.4399999999999999E-2</v>
      </c>
      <c r="BB26" s="4">
        <v>3.37</v>
      </c>
      <c r="BC26" s="4">
        <v>-0.32829999999999998</v>
      </c>
      <c r="BD26" s="4">
        <v>2.879E-2</v>
      </c>
      <c r="BE26" s="4">
        <v>6.9099999999999995E-2</v>
      </c>
      <c r="BF26" s="4">
        <v>0.40143000000000001</v>
      </c>
      <c r="BG26" s="4">
        <v>0.17829</v>
      </c>
      <c r="BH26" s="7" t="s">
        <v>143</v>
      </c>
      <c r="BI26" s="10" t="s">
        <v>226</v>
      </c>
      <c r="BJ26" s="4">
        <v>2</v>
      </c>
      <c r="BK26" s="4">
        <v>1</v>
      </c>
      <c r="BL26" s="4">
        <v>0</v>
      </c>
      <c r="BM26" s="4">
        <v>0.22989999999999999</v>
      </c>
      <c r="BN26" s="4">
        <v>8.1500000000000003E-2</v>
      </c>
      <c r="BO26" s="4">
        <v>6.4000000000000001E-2</v>
      </c>
      <c r="BP26" s="4">
        <v>3.34</v>
      </c>
      <c r="BQ26" s="4">
        <v>-0.57640000000000002</v>
      </c>
      <c r="BR26" s="4">
        <v>2.3230000000000001E-2</v>
      </c>
      <c r="BS26" s="4">
        <v>7.8159999999999993E-2</v>
      </c>
      <c r="BT26" s="4">
        <v>0.54039000000000004</v>
      </c>
      <c r="BU26" s="4">
        <v>0.12509999999999999</v>
      </c>
      <c r="BV26" s="7" t="s">
        <v>143</v>
      </c>
      <c r="BW26" s="21" t="s">
        <v>204</v>
      </c>
      <c r="BX26" s="19">
        <v>3</v>
      </c>
      <c r="BY26" s="19">
        <v>1</v>
      </c>
      <c r="BZ26" s="19">
        <v>2</v>
      </c>
      <c r="CA26" s="4">
        <v>1.7791999999999999</v>
      </c>
      <c r="CB26" s="4">
        <v>7.4399999999999994E-2</v>
      </c>
      <c r="CC26" s="4">
        <v>5.3999999999999999E-2</v>
      </c>
      <c r="CD26" s="4">
        <v>2.8</v>
      </c>
      <c r="CE26" s="4">
        <v>-0.3115</v>
      </c>
      <c r="CF26" s="4">
        <v>2.818E-2</v>
      </c>
      <c r="CG26" s="4">
        <v>6.8830000000000002E-2</v>
      </c>
      <c r="CH26" s="4">
        <v>0.10304000000000001</v>
      </c>
      <c r="CI26" s="4">
        <v>0.23702000000000001</v>
      </c>
      <c r="CJ26" s="7" t="s">
        <v>143</v>
      </c>
      <c r="CK26" s="10" t="s">
        <v>152</v>
      </c>
      <c r="CL26" s="4">
        <v>1</v>
      </c>
      <c r="CM26" s="4">
        <v>1</v>
      </c>
      <c r="CN26" s="4">
        <v>0</v>
      </c>
      <c r="CO26" s="4" t="s">
        <v>229</v>
      </c>
      <c r="CP26" s="4">
        <v>9.2999999999999999E-2</v>
      </c>
      <c r="CQ26" s="4">
        <v>7.7100000000000002E-2</v>
      </c>
      <c r="CR26" s="4">
        <v>4.09</v>
      </c>
      <c r="CS26" s="4">
        <v>-5.8464</v>
      </c>
      <c r="CT26" s="4">
        <v>2.7009999999999999E-2</v>
      </c>
      <c r="CU26" s="4">
        <v>8.8980000000000004E-2</v>
      </c>
      <c r="CV26" s="4">
        <v>0.3896</v>
      </c>
      <c r="CW26" s="4">
        <v>4.4839999999999998E-2</v>
      </c>
      <c r="CX26" s="7" t="s">
        <v>141</v>
      </c>
      <c r="CY26" s="10" t="s">
        <v>266</v>
      </c>
      <c r="CZ26" s="32">
        <v>1</v>
      </c>
      <c r="DA26" s="32" t="s">
        <v>212</v>
      </c>
      <c r="DB26" s="32">
        <v>0.1095</v>
      </c>
      <c r="DC26" s="32">
        <v>8.2199999999999995E-2</v>
      </c>
      <c r="DD26" s="32">
        <v>4.3899999999999997</v>
      </c>
      <c r="DE26" s="32">
        <v>-7.7610000000000001</v>
      </c>
      <c r="DF26" s="32">
        <v>4.7780000000000003E-2</v>
      </c>
      <c r="DG26" s="32">
        <v>9.8559999999999995E-2</v>
      </c>
      <c r="DH26" s="32">
        <v>0.69181000000000004</v>
      </c>
      <c r="DI26" s="32">
        <v>0.25720999999999999</v>
      </c>
      <c r="DJ26" s="7" t="s">
        <v>143</v>
      </c>
    </row>
    <row r="27" spans="1:152" x14ac:dyDescent="0.3">
      <c r="B27" s="40"/>
      <c r="Q27" s="12"/>
      <c r="BW27" s="21"/>
      <c r="BX27" s="19"/>
      <c r="BY27" s="19"/>
      <c r="BZ27" s="19"/>
      <c r="DA27" s="32" t="s">
        <v>217</v>
      </c>
      <c r="DB27" s="32">
        <v>0.14849999999999999</v>
      </c>
      <c r="DD27" s="32">
        <v>6.59</v>
      </c>
      <c r="DE27" s="41">
        <v>-15104</v>
      </c>
      <c r="DH27" s="32" t="s">
        <v>270</v>
      </c>
      <c r="DI27" s="32" t="s">
        <v>271</v>
      </c>
      <c r="DJ27" s="7" t="s">
        <v>143</v>
      </c>
    </row>
    <row r="28" spans="1:152" x14ac:dyDescent="0.3">
      <c r="B28" s="40" t="s">
        <v>230</v>
      </c>
      <c r="C28" s="4" t="s">
        <v>140</v>
      </c>
      <c r="D28" s="4">
        <v>8.6E-3</v>
      </c>
      <c r="E28" s="4">
        <v>4734567566.3351002</v>
      </c>
      <c r="F28" s="4">
        <v>3405777542.6698999</v>
      </c>
      <c r="G28" s="4">
        <v>7.81</v>
      </c>
      <c r="H28" s="4">
        <v>-0.65339999999999998</v>
      </c>
      <c r="I28" s="4">
        <v>2976324292.9348202</v>
      </c>
      <c r="J28" s="4">
        <v>3682067862.42168</v>
      </c>
      <c r="K28" s="4">
        <v>0.19700000000000001</v>
      </c>
      <c r="L28" s="4">
        <v>0.17602999999999999</v>
      </c>
      <c r="M28" s="4" t="s">
        <v>143</v>
      </c>
      <c r="N28" s="4" t="s">
        <v>140</v>
      </c>
      <c r="O28" s="4">
        <v>4856597350.0927</v>
      </c>
      <c r="P28" s="4">
        <v>3487429735.9786</v>
      </c>
      <c r="Q28" s="4">
        <v>7.99</v>
      </c>
      <c r="R28" s="4">
        <v>-0.73970000000000002</v>
      </c>
      <c r="S28" s="4">
        <v>3166846077.3218298</v>
      </c>
      <c r="T28" s="4">
        <v>3682067862.42168</v>
      </c>
      <c r="U28" s="4">
        <v>0.19700000000000001</v>
      </c>
      <c r="V28" s="4">
        <v>0.17602999999999999</v>
      </c>
      <c r="W28" s="4">
        <v>4.0000000000000002E-4</v>
      </c>
      <c r="X28" s="4" t="s">
        <v>143</v>
      </c>
      <c r="Y28" s="4" t="s">
        <v>140</v>
      </c>
      <c r="Z28" s="4">
        <v>5395313708.0606003</v>
      </c>
      <c r="AA28" s="4">
        <v>4252443659.8579001</v>
      </c>
      <c r="AB28" s="4">
        <v>9.91</v>
      </c>
      <c r="AC28" s="4">
        <v>-1.1471</v>
      </c>
      <c r="AD28" s="4">
        <v>4098806954.6577401</v>
      </c>
      <c r="AE28" s="4">
        <v>3508445746.60007</v>
      </c>
      <c r="AF28" s="4">
        <v>0.53261000000000003</v>
      </c>
      <c r="AG28" s="4">
        <v>0.23682</v>
      </c>
      <c r="AH28" s="4">
        <v>2.8999999999999998E-3</v>
      </c>
      <c r="AI28" s="4" t="s">
        <v>143</v>
      </c>
      <c r="AJ28" s="4" t="s">
        <v>140</v>
      </c>
      <c r="AL28" s="4">
        <v>4902383809.3368998</v>
      </c>
      <c r="AM28" s="4">
        <v>3517810482.9342999</v>
      </c>
      <c r="AN28" s="4">
        <v>8.0500000000000007</v>
      </c>
      <c r="AO28" s="4">
        <v>-0.77270000000000005</v>
      </c>
      <c r="AP28" s="4">
        <v>3214105017.0307798</v>
      </c>
      <c r="AQ28" s="4">
        <v>3701742286.2141099</v>
      </c>
      <c r="AR28" s="4">
        <v>0.19996</v>
      </c>
      <c r="AS28" s="4">
        <v>0.17429</v>
      </c>
      <c r="AT28" s="4" t="s">
        <v>143</v>
      </c>
      <c r="AU28" s="10" t="s">
        <v>149</v>
      </c>
      <c r="AV28" s="4">
        <v>0</v>
      </c>
      <c r="AW28" s="4">
        <v>1</v>
      </c>
      <c r="AX28" s="4">
        <v>1</v>
      </c>
      <c r="AY28" s="4">
        <v>0.16569999999999999</v>
      </c>
      <c r="AZ28" s="4">
        <v>2728875994.7772002</v>
      </c>
      <c r="BA28" s="4">
        <v>2246685970.1856999</v>
      </c>
      <c r="BB28" s="4">
        <v>5.34</v>
      </c>
      <c r="BC28" s="4">
        <v>0.45069999999999999</v>
      </c>
      <c r="BD28" s="4">
        <v>1468626389.9540401</v>
      </c>
      <c r="BE28" s="4">
        <v>2299978417.6382298</v>
      </c>
      <c r="BF28" s="4">
        <v>0.89946999999999999</v>
      </c>
      <c r="BG28" s="4">
        <v>0.85267999999999999</v>
      </c>
      <c r="BH28" s="7" t="s">
        <v>143</v>
      </c>
      <c r="BI28" s="10" t="s">
        <v>226</v>
      </c>
      <c r="BJ28" s="4">
        <v>2</v>
      </c>
      <c r="BK28" s="4">
        <v>1</v>
      </c>
      <c r="BL28" s="4">
        <v>0</v>
      </c>
      <c r="BM28" s="4">
        <v>0.1661</v>
      </c>
      <c r="BN28" s="4">
        <v>2716347517.6336002</v>
      </c>
      <c r="BO28" s="4">
        <v>2232913504.0718999</v>
      </c>
      <c r="BP28" s="4">
        <v>5.3</v>
      </c>
      <c r="BQ28" s="4">
        <v>0.45579999999999998</v>
      </c>
      <c r="BR28" s="4">
        <v>1498804424.3550799</v>
      </c>
      <c r="BS28" s="4">
        <v>2265420299.6547599</v>
      </c>
      <c r="BT28" s="4">
        <v>0.94077</v>
      </c>
      <c r="BU28" s="4">
        <v>0.78712000000000004</v>
      </c>
      <c r="BV28" s="7" t="s">
        <v>143</v>
      </c>
      <c r="BW28" s="10" t="s">
        <v>231</v>
      </c>
      <c r="BX28" s="17">
        <v>2</v>
      </c>
      <c r="BY28" s="17">
        <v>1</v>
      </c>
      <c r="BZ28" s="17">
        <v>0</v>
      </c>
      <c r="CA28" s="4">
        <v>0.23599999999999999</v>
      </c>
      <c r="CB28" s="4">
        <v>2716347517.6336002</v>
      </c>
      <c r="CC28" s="4">
        <v>2232913504.0718999</v>
      </c>
      <c r="CD28" s="4">
        <v>5.3</v>
      </c>
      <c r="CE28" s="4">
        <v>0.45579999999999998</v>
      </c>
      <c r="CF28" s="4">
        <v>1498804424.3550799</v>
      </c>
      <c r="CG28" s="4">
        <v>2265420299.6547599</v>
      </c>
      <c r="CH28" s="4">
        <v>0.94077</v>
      </c>
      <c r="CI28" s="4">
        <v>0.78712000000000004</v>
      </c>
      <c r="CJ28" s="7" t="s">
        <v>143</v>
      </c>
      <c r="CK28" s="10" t="s">
        <v>183</v>
      </c>
      <c r="CL28" s="4">
        <v>2</v>
      </c>
      <c r="CM28" s="4">
        <v>1</v>
      </c>
      <c r="CN28" s="4">
        <v>6</v>
      </c>
      <c r="CO28" s="4" t="s">
        <v>232</v>
      </c>
      <c r="CP28" s="4">
        <v>2447779798.7985001</v>
      </c>
      <c r="CQ28" s="4">
        <v>2246703018.1016998</v>
      </c>
      <c r="CR28" s="4">
        <v>5.96</v>
      </c>
      <c r="CS28" s="4">
        <v>-1.0132000000000001</v>
      </c>
      <c r="CT28" s="4">
        <v>-61508452.53131</v>
      </c>
      <c r="CU28" s="4">
        <v>2447006876.5071201</v>
      </c>
      <c r="CV28" s="4">
        <v>0.52414000000000005</v>
      </c>
      <c r="CW28" s="4">
        <v>0.83804000000000001</v>
      </c>
      <c r="CX28" s="7" t="s">
        <v>143</v>
      </c>
    </row>
    <row r="29" spans="1:152" x14ac:dyDescent="0.3">
      <c r="B29" s="40" t="s">
        <v>233</v>
      </c>
      <c r="C29" s="4" t="s">
        <v>140</v>
      </c>
      <c r="E29" s="4">
        <v>0.4551</v>
      </c>
      <c r="F29" s="4">
        <v>0.45369999999999999</v>
      </c>
      <c r="G29" s="4">
        <v>64.77</v>
      </c>
      <c r="H29" s="4">
        <v>-164.78749999999999</v>
      </c>
      <c r="I29" s="4">
        <v>-0.45368999999999998</v>
      </c>
      <c r="J29" s="4">
        <v>3.5340000000000003E-2</v>
      </c>
      <c r="K29" s="4">
        <v>0.56745999999999996</v>
      </c>
      <c r="L29" s="4">
        <v>4.4900000000000002E-2</v>
      </c>
      <c r="M29" s="4" t="s">
        <v>141</v>
      </c>
      <c r="N29" s="4" t="s">
        <v>140</v>
      </c>
      <c r="O29" s="4">
        <v>4.4200000000000003E-2</v>
      </c>
      <c r="P29" s="4">
        <v>3.5000000000000003E-2</v>
      </c>
      <c r="Q29" s="4">
        <v>5.0999999999999996</v>
      </c>
      <c r="R29" s="4">
        <v>-0.56259999999999999</v>
      </c>
      <c r="S29" s="4">
        <v>-2.6509999999999999E-2</v>
      </c>
      <c r="T29" s="4">
        <v>3.5340000000000003E-2</v>
      </c>
      <c r="U29" s="4">
        <v>0.56745999999999996</v>
      </c>
      <c r="V29" s="4">
        <v>4.4900000000000002E-2</v>
      </c>
      <c r="W29" s="4">
        <v>3.0999999999999999E-3</v>
      </c>
      <c r="X29" s="4" t="s">
        <v>141</v>
      </c>
      <c r="Y29" s="4" t="s">
        <v>140</v>
      </c>
      <c r="Z29" s="4">
        <v>4.3700000000000003E-2</v>
      </c>
      <c r="AA29" s="4">
        <v>3.3700000000000001E-2</v>
      </c>
      <c r="AB29" s="4">
        <v>4.8099999999999996</v>
      </c>
      <c r="AC29" s="4">
        <v>-0.52959999999999996</v>
      </c>
      <c r="AD29" s="4">
        <v>-7.4999999999999997E-3</v>
      </c>
      <c r="AE29" s="4">
        <v>4.3060000000000001E-2</v>
      </c>
      <c r="AF29" s="4">
        <v>0.62870999999999999</v>
      </c>
      <c r="AG29" s="4">
        <v>6.4130000000000006E-2</v>
      </c>
      <c r="AH29" s="4">
        <v>1.8E-3</v>
      </c>
      <c r="AI29" s="4" t="s">
        <v>143</v>
      </c>
      <c r="AJ29" s="4" t="s">
        <v>140</v>
      </c>
      <c r="AL29" s="4">
        <v>0.27139999999999997</v>
      </c>
      <c r="AM29" s="4">
        <v>0.23519999999999999</v>
      </c>
      <c r="AN29" s="4">
        <v>33.5</v>
      </c>
      <c r="AO29" s="4">
        <v>-57.968600000000002</v>
      </c>
      <c r="AP29" s="4">
        <v>0.23524</v>
      </c>
      <c r="AQ29" s="4">
        <v>0.13533999999999999</v>
      </c>
      <c r="AR29" s="4">
        <v>0.27243000000000001</v>
      </c>
      <c r="AS29" s="4">
        <v>2.7999999999999998E-4</v>
      </c>
      <c r="AT29" s="4" t="s">
        <v>141</v>
      </c>
      <c r="AU29" s="10" t="s">
        <v>149</v>
      </c>
      <c r="AV29" s="4">
        <v>0</v>
      </c>
      <c r="AW29" s="4">
        <v>1</v>
      </c>
      <c r="AX29" s="4">
        <v>1</v>
      </c>
      <c r="AY29" s="4">
        <v>0.86539999999999995</v>
      </c>
      <c r="AZ29" s="4">
        <v>3.8899999999999997E-2</v>
      </c>
      <c r="BA29" s="4">
        <v>2.9899999999999999E-2</v>
      </c>
      <c r="BB29" s="4">
        <v>4.24</v>
      </c>
      <c r="BC29" s="4">
        <v>-0.2137</v>
      </c>
      <c r="BD29" s="4">
        <v>-6.9699999999999996E-3</v>
      </c>
      <c r="BE29" s="4">
        <v>3.8309999999999997E-2</v>
      </c>
      <c r="BF29" s="4">
        <v>0.98968</v>
      </c>
      <c r="BG29" s="4">
        <v>9.6119999999999997E-2</v>
      </c>
      <c r="BH29" s="7" t="s">
        <v>143</v>
      </c>
      <c r="BI29" s="10" t="s">
        <v>150</v>
      </c>
      <c r="BJ29" s="4">
        <v>1</v>
      </c>
      <c r="BK29" s="4">
        <v>1</v>
      </c>
      <c r="BL29" s="4">
        <v>0</v>
      </c>
      <c r="BM29" s="4">
        <v>0.21010000000000001</v>
      </c>
      <c r="BN29" s="4">
        <v>3.95E-2</v>
      </c>
      <c r="BO29" s="4">
        <v>3.0099999999999998E-2</v>
      </c>
      <c r="BP29" s="4">
        <v>4.28</v>
      </c>
      <c r="BQ29" s="4">
        <v>-0.25190000000000001</v>
      </c>
      <c r="BR29" s="4">
        <v>-7.2500000000000004E-3</v>
      </c>
      <c r="BS29" s="4">
        <v>3.8870000000000002E-2</v>
      </c>
      <c r="BT29" s="4">
        <v>0.95523000000000002</v>
      </c>
      <c r="BU29" s="4">
        <v>9.3630000000000005E-2</v>
      </c>
      <c r="BV29" s="7" t="s">
        <v>143</v>
      </c>
      <c r="BW29" s="10" t="s">
        <v>151</v>
      </c>
      <c r="BX29" s="11">
        <v>0</v>
      </c>
      <c r="BY29" s="11">
        <v>1</v>
      </c>
      <c r="BZ29" s="11">
        <v>0</v>
      </c>
      <c r="CA29" s="4">
        <v>0.1764</v>
      </c>
      <c r="CB29" s="4">
        <v>3.85E-2</v>
      </c>
      <c r="CC29" s="4">
        <v>2.9700000000000001E-2</v>
      </c>
      <c r="CD29" s="4">
        <v>4.2</v>
      </c>
      <c r="CE29" s="4">
        <v>-0.18729999999999999</v>
      </c>
      <c r="CF29" s="4">
        <v>-6.4400000000000004E-3</v>
      </c>
      <c r="CG29" s="4">
        <v>3.7969999999999997E-2</v>
      </c>
      <c r="CH29" s="4">
        <v>0.99963999999999997</v>
      </c>
      <c r="CI29" s="4">
        <v>9.7860000000000003E-2</v>
      </c>
      <c r="CJ29" s="7" t="s">
        <v>143</v>
      </c>
      <c r="CK29" s="10" t="s">
        <v>152</v>
      </c>
      <c r="CL29" s="4">
        <v>1</v>
      </c>
      <c r="CM29" s="4">
        <v>1</v>
      </c>
      <c r="CN29" s="4">
        <v>0</v>
      </c>
      <c r="CO29" s="4" t="s">
        <v>234</v>
      </c>
      <c r="CP29" s="4">
        <v>3.4599999999999999E-2</v>
      </c>
      <c r="CQ29" s="4">
        <v>3.0599999999999999E-2</v>
      </c>
      <c r="CR29" s="4">
        <v>4.25</v>
      </c>
      <c r="CS29" s="4">
        <v>-0.16289999999999999</v>
      </c>
      <c r="CT29" s="4">
        <v>5.0000000000000001E-4</v>
      </c>
      <c r="CU29" s="4">
        <v>3.4630000000000001E-2</v>
      </c>
      <c r="CV29" s="4">
        <v>1.406E-2</v>
      </c>
      <c r="CW29" s="4">
        <v>0.31097000000000002</v>
      </c>
      <c r="CX29" s="7" t="s">
        <v>143</v>
      </c>
    </row>
    <row r="30" spans="1:152" x14ac:dyDescent="0.3">
      <c r="B30" s="40" t="s">
        <v>235</v>
      </c>
      <c r="C30" s="4" t="s">
        <v>140</v>
      </c>
      <c r="E30" s="4">
        <v>4.9097</v>
      </c>
      <c r="F30" s="4">
        <v>4.9024999999999999</v>
      </c>
      <c r="G30" s="4">
        <v>253.3</v>
      </c>
      <c r="H30" s="4">
        <v>-339.80020000000002</v>
      </c>
      <c r="I30" s="4">
        <v>-4.90245</v>
      </c>
      <c r="J30" s="4">
        <v>0.26595000000000002</v>
      </c>
      <c r="K30" s="4">
        <v>0.14374000000000001</v>
      </c>
      <c r="L30" s="4">
        <v>3.1E-4</v>
      </c>
      <c r="M30" s="4" t="s">
        <v>141</v>
      </c>
      <c r="N30" s="4" t="s">
        <v>140</v>
      </c>
      <c r="O30" s="4">
        <v>0.43880000000000002</v>
      </c>
      <c r="P30" s="4">
        <v>0.35959999999999998</v>
      </c>
      <c r="Q30" s="4">
        <v>20.149999999999999</v>
      </c>
      <c r="R30" s="4">
        <v>-1.7223999999999999</v>
      </c>
      <c r="S30" s="4">
        <v>-0.34904000000000002</v>
      </c>
      <c r="T30" s="4">
        <v>0.26595000000000002</v>
      </c>
      <c r="U30" s="4">
        <v>0.14374000000000001</v>
      </c>
      <c r="V30" s="4">
        <v>3.1E-4</v>
      </c>
      <c r="X30" s="4" t="s">
        <v>141</v>
      </c>
      <c r="Y30" s="4" t="s">
        <v>140</v>
      </c>
      <c r="Z30" s="4">
        <v>0.36399999999999999</v>
      </c>
      <c r="AA30" s="4">
        <v>0.29659999999999997</v>
      </c>
      <c r="AB30" s="4">
        <v>16.37</v>
      </c>
      <c r="AC30" s="4">
        <v>-0.87350000000000005</v>
      </c>
      <c r="AD30" s="4">
        <v>-0.20943000000000001</v>
      </c>
      <c r="AE30" s="4">
        <v>0.29774</v>
      </c>
      <c r="AF30" s="4">
        <v>0.57662999999999998</v>
      </c>
      <c r="AG30" s="4">
        <v>2.5770000000000001E-2</v>
      </c>
      <c r="AH30" s="4">
        <v>2.8999999999999998E-3</v>
      </c>
      <c r="AI30" s="4" t="s">
        <v>141</v>
      </c>
      <c r="AJ30" s="4" t="s">
        <v>140</v>
      </c>
      <c r="AK30" s="4">
        <v>2.2000000000000001E-3</v>
      </c>
      <c r="AL30" s="4">
        <v>1.8853</v>
      </c>
      <c r="AM30" s="4">
        <v>1.6841999999999999</v>
      </c>
      <c r="AN30" s="4">
        <v>91.51</v>
      </c>
      <c r="AO30" s="4">
        <v>-49.254899999999999</v>
      </c>
      <c r="AP30" s="4">
        <v>1.68421</v>
      </c>
      <c r="AQ30" s="4">
        <v>0.84731999999999996</v>
      </c>
      <c r="AR30" s="4">
        <v>0.98626999999999998</v>
      </c>
      <c r="AS30" s="4">
        <v>1.7099999999999999E-3</v>
      </c>
      <c r="AT30" s="4" t="s">
        <v>141</v>
      </c>
      <c r="AU30" s="10" t="s">
        <v>180</v>
      </c>
      <c r="AV30" s="4">
        <v>0</v>
      </c>
      <c r="AW30" s="4">
        <v>1</v>
      </c>
      <c r="AX30" s="4">
        <v>3</v>
      </c>
      <c r="AY30" s="4">
        <v>1.76</v>
      </c>
      <c r="AZ30" s="4">
        <v>0.11509999999999999</v>
      </c>
      <c r="BA30" s="4">
        <v>9.3600000000000003E-2</v>
      </c>
      <c r="BB30" s="4">
        <v>4.66</v>
      </c>
      <c r="BC30" s="6">
        <v>0.81269999999999998</v>
      </c>
      <c r="BD30" s="4">
        <v>-4.446E-2</v>
      </c>
      <c r="BE30" s="4">
        <v>0.10617</v>
      </c>
      <c r="BF30" s="4">
        <v>0.97357000000000005</v>
      </c>
      <c r="BG30" s="4">
        <v>0.82884000000000002</v>
      </c>
      <c r="BH30" s="7" t="s">
        <v>143</v>
      </c>
      <c r="BI30" s="10" t="s">
        <v>181</v>
      </c>
      <c r="BJ30" s="4">
        <v>3</v>
      </c>
      <c r="BK30" s="4">
        <v>1</v>
      </c>
      <c r="BL30" s="4">
        <v>0</v>
      </c>
      <c r="BM30" s="4">
        <v>0.51600000000000001</v>
      </c>
      <c r="BN30" s="4">
        <v>0.1178</v>
      </c>
      <c r="BO30" s="4">
        <v>9.0499999999999997E-2</v>
      </c>
      <c r="BP30" s="4">
        <v>4.5199999999999996</v>
      </c>
      <c r="BQ30" s="4">
        <v>0.80369999999999997</v>
      </c>
      <c r="BR30" s="4">
        <v>-4.3310000000000001E-2</v>
      </c>
      <c r="BS30" s="4">
        <v>0.10959000000000001</v>
      </c>
      <c r="BT30" s="4">
        <v>0.78966999999999998</v>
      </c>
      <c r="BU30" s="4">
        <v>0.71858999999999995</v>
      </c>
      <c r="BV30" s="7" t="s">
        <v>143</v>
      </c>
      <c r="BW30" s="13" t="s">
        <v>236</v>
      </c>
      <c r="BX30" s="9">
        <v>0</v>
      </c>
      <c r="BY30" s="9">
        <v>1</v>
      </c>
      <c r="BZ30" s="9">
        <v>3</v>
      </c>
      <c r="CA30" s="4">
        <v>1.1881999999999999</v>
      </c>
      <c r="CB30" s="4">
        <v>0.11509999999999999</v>
      </c>
      <c r="CC30" s="4">
        <v>9.3600000000000003E-2</v>
      </c>
      <c r="CD30" s="4">
        <v>4.66</v>
      </c>
      <c r="CE30" s="4">
        <v>0.81269999999999998</v>
      </c>
      <c r="CF30" s="4">
        <v>-4.446E-2</v>
      </c>
      <c r="CG30" s="4">
        <v>0.10617</v>
      </c>
      <c r="CH30" s="4">
        <v>0.97357000000000005</v>
      </c>
      <c r="CI30" s="4">
        <v>0.82884000000000002</v>
      </c>
      <c r="CJ30" s="7" t="s">
        <v>143</v>
      </c>
      <c r="CK30" s="10" t="s">
        <v>237</v>
      </c>
      <c r="CL30" s="4">
        <v>5</v>
      </c>
      <c r="CM30" s="4">
        <v>1</v>
      </c>
      <c r="CN30" s="4">
        <v>0</v>
      </c>
      <c r="CO30" s="4" t="s">
        <v>238</v>
      </c>
      <c r="CP30" s="4">
        <v>0.1464</v>
      </c>
      <c r="CQ30" s="4">
        <v>0.1265</v>
      </c>
      <c r="CR30" s="4">
        <v>6.26</v>
      </c>
      <c r="CS30" s="4">
        <v>0.51100000000000001</v>
      </c>
      <c r="CT30" s="4">
        <v>-7.5200000000000003E-2</v>
      </c>
      <c r="CU30" s="4">
        <v>0.12562000000000001</v>
      </c>
      <c r="CV30" s="4">
        <v>0.22117999999999999</v>
      </c>
      <c r="CW30" s="4">
        <v>0.42323</v>
      </c>
      <c r="CX30" s="7" t="s">
        <v>143</v>
      </c>
    </row>
  </sheetData>
  <conditionalFormatting sqref="BC1:BC1048576">
    <cfRule type="colorScale" priority="3">
      <colorScale>
        <cfvo type="min"/>
        <cfvo type="max"/>
        <color rgb="FFFF0000"/>
        <color rgb="FF00B050"/>
      </colorScale>
    </cfRule>
  </conditionalFormatting>
  <conditionalFormatting sqref="BQ1:BQ1048576">
    <cfRule type="colorScale" priority="2">
      <colorScale>
        <cfvo type="min"/>
        <cfvo type="max"/>
        <color rgb="FFFF0000"/>
        <color rgb="FF00B050"/>
      </colorScale>
    </cfRule>
  </conditionalFormatting>
  <conditionalFormatting sqref="CE1:CE1048576">
    <cfRule type="colorScale" priority="1">
      <colorScale>
        <cfvo type="min"/>
        <cfvo type="max"/>
        <color rgb="FFFF0000"/>
        <color rgb="FF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866D-635E-4282-AE03-0A6079265917}">
  <dimension ref="A1:I28"/>
  <sheetViews>
    <sheetView workbookViewId="0">
      <pane xSplit="1" topLeftCell="E1" activePane="topRight" state="frozen"/>
      <selection pane="topRight" activeCell="I3" sqref="I3"/>
    </sheetView>
  </sheetViews>
  <sheetFormatPr defaultRowHeight="14.4" x14ac:dyDescent="0.3"/>
  <cols>
    <col min="1" max="1" width="25.33203125" style="24" bestFit="1" customWidth="1"/>
    <col min="2" max="2" width="18" style="4" bestFit="1" customWidth="1"/>
    <col min="3" max="3" width="18.33203125" style="4" bestFit="1" customWidth="1"/>
    <col min="4" max="4" width="16.6640625" style="4" bestFit="1" customWidth="1"/>
    <col min="5" max="5" width="16.33203125" style="4" bestFit="1" customWidth="1"/>
    <col min="6" max="6" width="10.109375" style="4" bestFit="1" customWidth="1"/>
    <col min="7" max="7" width="9.44140625" style="4" bestFit="1" customWidth="1"/>
    <col min="8" max="8" width="13.109375" style="4" bestFit="1" customWidth="1"/>
    <col min="9" max="9" width="14.21875" style="4" bestFit="1" customWidth="1"/>
  </cols>
  <sheetData>
    <row r="1" spans="1:9" x14ac:dyDescent="0.3">
      <c r="A1" s="28" t="s">
        <v>0</v>
      </c>
      <c r="B1" s="1" t="s">
        <v>5</v>
      </c>
      <c r="C1" s="1" t="s">
        <v>15</v>
      </c>
      <c r="D1" s="1" t="s">
        <v>26</v>
      </c>
      <c r="E1" s="1" t="s">
        <v>38</v>
      </c>
      <c r="F1" s="2" t="s">
        <v>52</v>
      </c>
      <c r="G1" s="2" t="s">
        <v>66</v>
      </c>
      <c r="H1" s="2" t="s">
        <v>80</v>
      </c>
      <c r="I1" s="2" t="s">
        <v>94</v>
      </c>
    </row>
    <row r="2" spans="1:9" x14ac:dyDescent="0.3">
      <c r="A2" s="28" t="s">
        <v>139</v>
      </c>
      <c r="B2" s="4">
        <v>15.95</v>
      </c>
      <c r="C2" s="4">
        <v>6.98</v>
      </c>
      <c r="D2" s="4">
        <v>7.41</v>
      </c>
      <c r="E2" s="4">
        <v>2.67</v>
      </c>
      <c r="F2" s="6">
        <v>0.04</v>
      </c>
      <c r="G2" s="6">
        <v>0.04</v>
      </c>
      <c r="H2" s="6">
        <v>0.04</v>
      </c>
      <c r="I2" s="23">
        <v>0.08</v>
      </c>
    </row>
    <row r="3" spans="1:9" x14ac:dyDescent="0.3">
      <c r="A3" s="28" t="s">
        <v>148</v>
      </c>
      <c r="B3" s="31">
        <v>85.67</v>
      </c>
      <c r="C3" s="4">
        <v>97.64</v>
      </c>
      <c r="D3" s="4">
        <v>110.74</v>
      </c>
      <c r="E3" s="4">
        <v>104</v>
      </c>
      <c r="F3" s="4">
        <v>23.03</v>
      </c>
      <c r="G3" s="4">
        <v>23.38</v>
      </c>
      <c r="H3" s="22">
        <v>25.36</v>
      </c>
      <c r="I3" s="30">
        <v>22.08</v>
      </c>
    </row>
    <row r="4" spans="1:9" x14ac:dyDescent="0.3">
      <c r="A4" s="28" t="s">
        <v>154</v>
      </c>
      <c r="B4" s="4">
        <v>8.17</v>
      </c>
      <c r="C4" s="4">
        <v>7.54</v>
      </c>
      <c r="D4" s="4">
        <v>7.52</v>
      </c>
      <c r="E4" s="4">
        <v>6.37</v>
      </c>
      <c r="F4" s="6">
        <v>0.25</v>
      </c>
      <c r="G4" s="6">
        <v>0.25</v>
      </c>
      <c r="H4" s="6">
        <v>0.25</v>
      </c>
      <c r="I4" s="23">
        <v>0.35</v>
      </c>
    </row>
    <row r="5" spans="1:9" x14ac:dyDescent="0.3">
      <c r="A5" s="28" t="s">
        <v>159</v>
      </c>
      <c r="B5" s="4">
        <v>30.84</v>
      </c>
      <c r="C5" s="4">
        <v>3.34</v>
      </c>
      <c r="D5" s="12">
        <v>3.4</v>
      </c>
      <c r="E5" s="4">
        <v>17.68</v>
      </c>
      <c r="F5" s="4">
        <v>2.77</v>
      </c>
      <c r="G5" s="4">
        <v>2.78</v>
      </c>
      <c r="H5" s="4">
        <v>2.77</v>
      </c>
      <c r="I5" s="23">
        <v>5.29</v>
      </c>
    </row>
    <row r="6" spans="1:9" x14ac:dyDescent="0.3">
      <c r="A6" s="28" t="s">
        <v>163</v>
      </c>
      <c r="B6" s="4">
        <v>12.61</v>
      </c>
      <c r="C6" s="31">
        <v>3.25</v>
      </c>
      <c r="D6" s="4">
        <v>4.68</v>
      </c>
      <c r="E6" s="4">
        <v>11.73</v>
      </c>
      <c r="F6" s="4">
        <v>2.64</v>
      </c>
      <c r="G6" s="4">
        <v>2.76</v>
      </c>
      <c r="H6" s="4">
        <v>2.64</v>
      </c>
      <c r="I6" s="29">
        <v>2.29</v>
      </c>
    </row>
    <row r="7" spans="1:9" x14ac:dyDescent="0.3">
      <c r="A7" s="28" t="s">
        <v>166</v>
      </c>
      <c r="B7" s="4">
        <v>80.349999999999994</v>
      </c>
      <c r="C7" s="4">
        <v>6.79</v>
      </c>
      <c r="D7" s="4">
        <v>4.28</v>
      </c>
      <c r="E7" s="4">
        <v>36.14</v>
      </c>
      <c r="F7" s="4">
        <v>4.25</v>
      </c>
      <c r="G7" s="4">
        <v>4.33</v>
      </c>
      <c r="H7" s="25">
        <v>3.63</v>
      </c>
      <c r="I7" s="23">
        <v>7.8</v>
      </c>
    </row>
    <row r="8" spans="1:9" x14ac:dyDescent="0.3">
      <c r="A8" s="28" t="s">
        <v>172</v>
      </c>
      <c r="B8" s="4">
        <v>10.44</v>
      </c>
      <c r="C8" s="12">
        <v>2.25</v>
      </c>
      <c r="D8" s="12">
        <v>2.9</v>
      </c>
      <c r="E8" s="12">
        <v>0.54</v>
      </c>
      <c r="F8" s="6">
        <v>0.11</v>
      </c>
      <c r="G8" s="6">
        <v>0</v>
      </c>
      <c r="H8" s="6">
        <v>0</v>
      </c>
      <c r="I8" s="4">
        <v>0.1</v>
      </c>
    </row>
    <row r="9" spans="1:9" x14ac:dyDescent="0.3">
      <c r="A9" s="28" t="s">
        <v>176</v>
      </c>
      <c r="B9" s="4">
        <v>10.62</v>
      </c>
      <c r="C9" s="12">
        <v>2.25</v>
      </c>
      <c r="D9" s="12">
        <v>2.9</v>
      </c>
      <c r="E9" s="12">
        <v>0.61</v>
      </c>
      <c r="F9" s="6">
        <v>0</v>
      </c>
      <c r="G9" s="6">
        <v>0</v>
      </c>
      <c r="H9" s="6">
        <v>0</v>
      </c>
      <c r="I9" s="4">
        <v>0.02</v>
      </c>
    </row>
    <row r="10" spans="1:9" x14ac:dyDescent="0.3">
      <c r="A10" s="28" t="s">
        <v>179</v>
      </c>
      <c r="B10" s="4">
        <v>31.31</v>
      </c>
      <c r="C10" s="4">
        <v>7.03</v>
      </c>
      <c r="D10" s="4">
        <v>8.48</v>
      </c>
      <c r="E10" s="12">
        <v>2.02</v>
      </c>
      <c r="F10" s="4">
        <v>2.54</v>
      </c>
      <c r="G10" s="4">
        <v>2.52</v>
      </c>
      <c r="H10" s="25">
        <v>2.16</v>
      </c>
      <c r="I10" s="23">
        <v>2.61</v>
      </c>
    </row>
    <row r="11" spans="1:9" x14ac:dyDescent="0.3">
      <c r="A11" s="28" t="s">
        <v>187</v>
      </c>
      <c r="B11" s="4">
        <v>30.51</v>
      </c>
      <c r="C11" s="4">
        <v>9.68</v>
      </c>
      <c r="D11" s="4">
        <v>8.44</v>
      </c>
      <c r="E11" s="4">
        <v>2.78</v>
      </c>
      <c r="F11" s="4">
        <v>2.4500000000000002</v>
      </c>
      <c r="G11" s="4">
        <v>2.4500000000000002</v>
      </c>
      <c r="H11" s="25">
        <v>2.21</v>
      </c>
      <c r="I11" s="23">
        <v>2.2999999999999998</v>
      </c>
    </row>
    <row r="12" spans="1:9" x14ac:dyDescent="0.3">
      <c r="A12" s="28" t="s">
        <v>191</v>
      </c>
      <c r="B12" s="4">
        <v>38.229999999999997</v>
      </c>
      <c r="C12" s="4">
        <v>2.97</v>
      </c>
      <c r="D12" s="4">
        <v>5.53</v>
      </c>
      <c r="E12" s="4">
        <v>11.18</v>
      </c>
      <c r="F12" s="4">
        <v>2.37</v>
      </c>
      <c r="G12" s="4">
        <v>2.36</v>
      </c>
      <c r="H12" s="25">
        <v>2.27</v>
      </c>
      <c r="I12" s="23">
        <v>4.72</v>
      </c>
    </row>
    <row r="13" spans="1:9" x14ac:dyDescent="0.3">
      <c r="A13" s="28" t="s">
        <v>193</v>
      </c>
      <c r="B13" s="4">
        <v>50.1</v>
      </c>
      <c r="C13" s="4">
        <v>10.35</v>
      </c>
      <c r="D13" s="4">
        <v>9.01</v>
      </c>
      <c r="E13" s="31">
        <v>8.42</v>
      </c>
      <c r="F13" s="4">
        <v>2.96</v>
      </c>
      <c r="G13" s="4">
        <v>2.91</v>
      </c>
      <c r="H13" s="4">
        <v>2.92</v>
      </c>
      <c r="I13" s="29">
        <v>1.3</v>
      </c>
    </row>
    <row r="14" spans="1:9" x14ac:dyDescent="0.3">
      <c r="A14" s="28" t="s">
        <v>196</v>
      </c>
      <c r="B14" s="4">
        <v>38.51</v>
      </c>
      <c r="C14" s="4">
        <v>9.02</v>
      </c>
      <c r="D14" s="4">
        <v>6.88</v>
      </c>
      <c r="E14" s="4">
        <v>5.6</v>
      </c>
      <c r="F14" s="4">
        <v>2.72</v>
      </c>
      <c r="G14" s="4">
        <v>2.72</v>
      </c>
      <c r="H14" s="25">
        <v>2.52</v>
      </c>
      <c r="I14" s="23">
        <v>5.18</v>
      </c>
    </row>
    <row r="15" spans="1:9" x14ac:dyDescent="0.3">
      <c r="A15" s="28" t="s">
        <v>198</v>
      </c>
      <c r="B15" s="4">
        <v>50.99</v>
      </c>
      <c r="C15" s="4">
        <v>7.94</v>
      </c>
      <c r="D15" s="4">
        <v>18.600000000000001</v>
      </c>
      <c r="E15" s="4">
        <v>5.67</v>
      </c>
      <c r="F15" s="6">
        <v>1.55</v>
      </c>
      <c r="G15" s="6">
        <v>1.55</v>
      </c>
      <c r="H15" s="26">
        <v>1.48</v>
      </c>
      <c r="I15" s="23">
        <v>2.37</v>
      </c>
    </row>
    <row r="16" spans="1:9" x14ac:dyDescent="0.3">
      <c r="A16" s="28" t="s">
        <v>203</v>
      </c>
      <c r="B16" s="4">
        <v>19.21</v>
      </c>
      <c r="C16" s="4">
        <v>7.85</v>
      </c>
      <c r="D16" s="4">
        <v>6.92</v>
      </c>
      <c r="E16" s="31">
        <v>6.74</v>
      </c>
      <c r="F16" s="4">
        <v>3.62</v>
      </c>
      <c r="G16" s="4">
        <v>3.64</v>
      </c>
      <c r="H16" s="27">
        <v>3.6</v>
      </c>
      <c r="I16" s="29">
        <v>3.14</v>
      </c>
    </row>
    <row r="17" spans="1:9" x14ac:dyDescent="0.3">
      <c r="A17" s="28" t="s">
        <v>207</v>
      </c>
      <c r="B17" s="12">
        <v>1.89</v>
      </c>
      <c r="C17" s="4">
        <v>10.68</v>
      </c>
      <c r="D17" s="4">
        <v>26.07</v>
      </c>
      <c r="E17" s="4">
        <v>15.93</v>
      </c>
      <c r="F17" s="4">
        <v>2.09</v>
      </c>
      <c r="G17" s="4">
        <v>1.59</v>
      </c>
      <c r="H17" s="25">
        <v>1.1499999999999999</v>
      </c>
      <c r="I17" s="23">
        <v>10.1</v>
      </c>
    </row>
    <row r="18" spans="1:9" x14ac:dyDescent="0.3">
      <c r="A18" s="28" t="s">
        <v>210</v>
      </c>
      <c r="B18" s="4">
        <v>39.159999999999997</v>
      </c>
      <c r="C18" s="4">
        <v>6.66</v>
      </c>
      <c r="D18" s="4">
        <v>25.38</v>
      </c>
      <c r="E18" s="4">
        <v>5.05</v>
      </c>
      <c r="F18" s="4">
        <v>4.58</v>
      </c>
      <c r="G18" s="4">
        <v>4.99</v>
      </c>
      <c r="H18" s="27">
        <v>4.75</v>
      </c>
      <c r="I18" s="23">
        <v>5.21</v>
      </c>
    </row>
    <row r="19" spans="1:9" x14ac:dyDescent="0.3">
      <c r="A19" s="28" t="s">
        <v>212</v>
      </c>
      <c r="B19" s="4">
        <v>38.99</v>
      </c>
      <c r="C19" s="4">
        <v>56.77</v>
      </c>
      <c r="D19" s="4">
        <v>193.49</v>
      </c>
      <c r="E19" s="4">
        <v>74.03</v>
      </c>
      <c r="F19" s="4">
        <v>37.15</v>
      </c>
      <c r="G19" s="4">
        <v>29.24</v>
      </c>
      <c r="H19" s="25">
        <v>24.44</v>
      </c>
      <c r="I19" s="23">
        <v>44.83</v>
      </c>
    </row>
    <row r="20" spans="1:9" x14ac:dyDescent="0.3">
      <c r="A20" s="28" t="s">
        <v>215</v>
      </c>
      <c r="B20" s="12">
        <v>6.83</v>
      </c>
      <c r="C20" s="4">
        <v>6.35</v>
      </c>
      <c r="D20" s="4">
        <v>7.3</v>
      </c>
      <c r="E20" s="4">
        <v>11.95</v>
      </c>
      <c r="F20" s="4">
        <v>3.12</v>
      </c>
      <c r="G20" s="4">
        <v>2.96</v>
      </c>
      <c r="H20" s="27">
        <v>2.96</v>
      </c>
      <c r="I20" s="23">
        <v>4.03</v>
      </c>
    </row>
    <row r="21" spans="1:9" x14ac:dyDescent="0.3">
      <c r="A21" s="28" t="s">
        <v>217</v>
      </c>
      <c r="B21" s="12">
        <v>5.71</v>
      </c>
      <c r="C21" s="4">
        <v>11.04</v>
      </c>
      <c r="D21" s="4">
        <v>10.02</v>
      </c>
      <c r="E21" s="4">
        <v>14.86</v>
      </c>
      <c r="F21" s="4">
        <v>2.73</v>
      </c>
      <c r="G21" s="4">
        <v>2.66</v>
      </c>
      <c r="H21" s="25">
        <v>2.56</v>
      </c>
      <c r="I21" s="23">
        <v>4.6500000000000004</v>
      </c>
    </row>
    <row r="22" spans="1:9" x14ac:dyDescent="0.3">
      <c r="A22" s="28" t="s">
        <v>219</v>
      </c>
      <c r="B22" s="4">
        <v>12.2</v>
      </c>
      <c r="C22" s="4">
        <v>14.06</v>
      </c>
      <c r="D22" s="4">
        <v>12.02</v>
      </c>
      <c r="E22" s="4">
        <v>16.96</v>
      </c>
      <c r="F22" s="4">
        <v>3.51</v>
      </c>
      <c r="G22" s="4">
        <v>3.48</v>
      </c>
      <c r="H22" s="4">
        <v>3.48</v>
      </c>
      <c r="I22" s="23">
        <v>4.12</v>
      </c>
    </row>
    <row r="23" spans="1:9" x14ac:dyDescent="0.3">
      <c r="A23" s="28" t="s">
        <v>222</v>
      </c>
      <c r="B23" s="4">
        <v>7.27</v>
      </c>
      <c r="C23" s="4">
        <v>7.08</v>
      </c>
      <c r="D23" s="4">
        <v>15.5</v>
      </c>
      <c r="E23" s="4">
        <v>8.98</v>
      </c>
      <c r="F23" s="4">
        <v>4.7</v>
      </c>
      <c r="G23" s="4">
        <v>4.6100000000000003</v>
      </c>
      <c r="H23" s="25">
        <v>4.53</v>
      </c>
      <c r="I23" s="23">
        <v>12.03</v>
      </c>
    </row>
    <row r="24" spans="1:9" x14ac:dyDescent="0.3">
      <c r="A24" s="28" t="s">
        <v>225</v>
      </c>
      <c r="B24" s="4">
        <v>28.73</v>
      </c>
      <c r="C24" s="4">
        <v>6.54</v>
      </c>
      <c r="D24" s="31">
        <v>5.24</v>
      </c>
      <c r="E24" s="4">
        <v>5.53</v>
      </c>
      <c r="F24" s="4">
        <v>4.68</v>
      </c>
      <c r="G24" s="4">
        <v>4.84</v>
      </c>
      <c r="H24" s="4">
        <v>4.74</v>
      </c>
      <c r="I24" s="29">
        <v>2.86</v>
      </c>
    </row>
    <row r="25" spans="1:9" x14ac:dyDescent="0.3">
      <c r="A25" s="28" t="s">
        <v>228</v>
      </c>
      <c r="B25" s="4">
        <v>26.19</v>
      </c>
      <c r="C25" s="12">
        <v>2.73</v>
      </c>
      <c r="D25" s="4">
        <v>3.49</v>
      </c>
      <c r="E25" s="4">
        <v>9.6300000000000008</v>
      </c>
      <c r="F25" s="4">
        <v>3.37</v>
      </c>
      <c r="G25" s="4">
        <v>3.34</v>
      </c>
      <c r="H25" s="25">
        <v>2.8</v>
      </c>
      <c r="I25" s="23">
        <v>4.09</v>
      </c>
    </row>
    <row r="26" spans="1:9" x14ac:dyDescent="0.3">
      <c r="A26" s="28" t="s">
        <v>230</v>
      </c>
      <c r="B26" s="4">
        <v>7.81</v>
      </c>
      <c r="C26" s="4">
        <v>7.99</v>
      </c>
      <c r="D26" s="4">
        <v>9.91</v>
      </c>
      <c r="E26" s="4">
        <v>8.0500000000000007</v>
      </c>
      <c r="F26" s="4">
        <v>5.34</v>
      </c>
      <c r="G26" s="4">
        <v>5.3</v>
      </c>
      <c r="H26" s="4">
        <v>5.3</v>
      </c>
      <c r="I26" s="23">
        <v>5.96</v>
      </c>
    </row>
    <row r="27" spans="1:9" x14ac:dyDescent="0.3">
      <c r="A27" s="28" t="s">
        <v>233</v>
      </c>
      <c r="B27" s="4">
        <v>64.77</v>
      </c>
      <c r="C27" s="4">
        <v>5.0999999999999996</v>
      </c>
      <c r="D27" s="4">
        <v>4.8099999999999996</v>
      </c>
      <c r="E27" s="4">
        <v>33.5</v>
      </c>
      <c r="F27" s="4">
        <v>4.24</v>
      </c>
      <c r="G27" s="4">
        <v>4.28</v>
      </c>
      <c r="H27" s="4">
        <v>4.2</v>
      </c>
      <c r="I27" s="4">
        <v>4.25</v>
      </c>
    </row>
    <row r="28" spans="1:9" x14ac:dyDescent="0.3">
      <c r="A28" s="28" t="s">
        <v>235</v>
      </c>
      <c r="B28" s="4">
        <v>253.3</v>
      </c>
      <c r="C28" s="4">
        <v>20.149999999999999</v>
      </c>
      <c r="D28" s="4">
        <v>16.37</v>
      </c>
      <c r="E28" s="4">
        <v>91.51</v>
      </c>
      <c r="F28" s="4">
        <v>4.66</v>
      </c>
      <c r="G28" s="4">
        <v>4.5199999999999996</v>
      </c>
      <c r="H28" s="4">
        <v>4.66</v>
      </c>
      <c r="I28" s="23">
        <v>6.26</v>
      </c>
    </row>
  </sheetData>
  <conditionalFormatting sqref="I2 I4:I5 I7:I12 I14:I15 I17:I23 I25:I28">
    <cfRule type="expression" dxfId="1" priority="1">
      <formula>I2&lt;H2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BBD6-501F-4795-820F-F8E0145136B0}">
  <dimension ref="A1:I28"/>
  <sheetViews>
    <sheetView workbookViewId="0">
      <pane xSplit="1" topLeftCell="E1" activePane="topRight" state="frozen"/>
      <selection pane="topRight" activeCell="I17" sqref="I17"/>
    </sheetView>
  </sheetViews>
  <sheetFormatPr defaultRowHeight="14.4" x14ac:dyDescent="0.3"/>
  <cols>
    <col min="1" max="1" width="25.33203125" style="24" bestFit="1" customWidth="1"/>
    <col min="2" max="2" width="14.88671875" style="4" bestFit="1" customWidth="1"/>
    <col min="3" max="3" width="15.109375" style="4" bestFit="1" customWidth="1"/>
    <col min="4" max="4" width="13.77734375" style="4" bestFit="1" customWidth="1"/>
    <col min="5" max="5" width="13.21875" style="4" bestFit="1" customWidth="1"/>
    <col min="6" max="7" width="7.6640625" style="4" bestFit="1" customWidth="1"/>
    <col min="8" max="8" width="10" style="4" bestFit="1" customWidth="1"/>
    <col min="9" max="9" width="11.109375" style="4" bestFit="1" customWidth="1"/>
  </cols>
  <sheetData>
    <row r="1" spans="1:9" x14ac:dyDescent="0.3">
      <c r="A1" s="28" t="s">
        <v>0</v>
      </c>
      <c r="B1" s="1" t="s">
        <v>6</v>
      </c>
      <c r="C1" s="1" t="s">
        <v>16</v>
      </c>
      <c r="D1" s="1" t="s">
        <v>27</v>
      </c>
      <c r="E1" s="1" t="s">
        <v>39</v>
      </c>
      <c r="F1" s="2" t="s">
        <v>53</v>
      </c>
      <c r="G1" s="2" t="s">
        <v>67</v>
      </c>
      <c r="H1" s="2" t="s">
        <v>81</v>
      </c>
      <c r="I1" s="2" t="s">
        <v>95</v>
      </c>
    </row>
    <row r="2" spans="1:9" x14ac:dyDescent="0.3">
      <c r="A2" s="28" t="s">
        <v>139</v>
      </c>
      <c r="B2" s="4">
        <v>-17.327500000000001</v>
      </c>
      <c r="C2" s="4">
        <v>-3.2412999999999998</v>
      </c>
      <c r="D2" s="4">
        <v>-3.6598999999999999</v>
      </c>
      <c r="E2" s="4">
        <v>0.3639</v>
      </c>
      <c r="F2" s="4">
        <v>0.99909999999999999</v>
      </c>
      <c r="G2" s="4">
        <v>0.99909999999999999</v>
      </c>
      <c r="H2" s="4">
        <v>0.99909999999999999</v>
      </c>
      <c r="I2" s="4">
        <v>0.99629999999999996</v>
      </c>
    </row>
    <row r="3" spans="1:9" x14ac:dyDescent="0.3">
      <c r="A3" s="28" t="s">
        <v>148</v>
      </c>
      <c r="B3" s="4">
        <v>-8.6356999999999999</v>
      </c>
      <c r="C3" s="4">
        <v>-10.887600000000001</v>
      </c>
      <c r="D3" s="4">
        <v>-13.3081</v>
      </c>
      <c r="E3" s="4">
        <v>-12.561999999999999</v>
      </c>
      <c r="F3" s="4">
        <v>-0.40570000000000001</v>
      </c>
      <c r="G3" s="4">
        <v>-0.25669999999999998</v>
      </c>
      <c r="H3" s="4">
        <v>-7.8600000000000003E-2</v>
      </c>
      <c r="I3" s="4">
        <v>-1.0725</v>
      </c>
    </row>
    <row r="4" spans="1:9" x14ac:dyDescent="0.3">
      <c r="A4" s="28" t="s">
        <v>154</v>
      </c>
      <c r="B4" s="4">
        <v>-2.9504999999999999</v>
      </c>
      <c r="C4" s="4">
        <v>-2.5019</v>
      </c>
      <c r="D4" s="4">
        <v>-2.4937</v>
      </c>
      <c r="E4" s="4">
        <v>-1.5407</v>
      </c>
      <c r="F4" s="4">
        <v>0.99409999999999998</v>
      </c>
      <c r="G4" s="4">
        <v>0.99409999999999998</v>
      </c>
      <c r="H4" s="4">
        <v>0.99409999999999998</v>
      </c>
      <c r="I4" s="4">
        <v>0.98170000000000002</v>
      </c>
    </row>
    <row r="5" spans="1:9" x14ac:dyDescent="0.3">
      <c r="A5" s="28" t="s">
        <v>159</v>
      </c>
      <c r="B5" s="4">
        <v>-69.237300000000005</v>
      </c>
      <c r="C5" s="4">
        <v>-0.1232</v>
      </c>
      <c r="D5" s="4">
        <v>-0.6845</v>
      </c>
      <c r="E5" s="4">
        <v>-28.905799999999999</v>
      </c>
      <c r="F5" s="4">
        <v>9.0700000000000003E-2</v>
      </c>
      <c r="G5" s="4">
        <v>-5.7200000000000001E-2</v>
      </c>
      <c r="H5" s="4">
        <v>9.0700000000000003E-2</v>
      </c>
      <c r="I5" s="4">
        <v>-3.9011</v>
      </c>
    </row>
    <row r="6" spans="1:9" x14ac:dyDescent="0.3">
      <c r="A6" s="28" t="s">
        <v>163</v>
      </c>
      <c r="B6" s="4">
        <v>-10.5647</v>
      </c>
      <c r="C6" s="4">
        <v>-3.8100000000000002E-2</v>
      </c>
      <c r="D6" s="4">
        <v>-1.7921</v>
      </c>
      <c r="E6" s="4">
        <v>-11.4933</v>
      </c>
      <c r="F6" s="4">
        <v>-8.9999999999999998E-4</v>
      </c>
      <c r="G6" s="4">
        <v>-8.1799999999999998E-2</v>
      </c>
      <c r="H6" s="4">
        <v>-8.9999999999999998E-4</v>
      </c>
      <c r="I6" s="4">
        <v>0.38690000000000002</v>
      </c>
    </row>
    <row r="7" spans="1:9" x14ac:dyDescent="0.3">
      <c r="A7" s="28" t="s">
        <v>166</v>
      </c>
      <c r="B7" s="4">
        <v>-513.36620000000005</v>
      </c>
      <c r="C7" s="4">
        <v>-3.5392000000000001</v>
      </c>
      <c r="D7" s="4">
        <v>-1.2668999999999999</v>
      </c>
      <c r="E7" s="4">
        <v>-133.43170000000001</v>
      </c>
      <c r="F7" s="4">
        <v>-0.90580000000000005</v>
      </c>
      <c r="G7" s="4">
        <v>-0.86899999999999999</v>
      </c>
      <c r="H7" s="4">
        <v>-0.50870000000000004</v>
      </c>
      <c r="I7" s="4">
        <v>-14.074</v>
      </c>
    </row>
    <row r="8" spans="1:9" x14ac:dyDescent="0.3">
      <c r="A8" s="28" t="s">
        <v>172</v>
      </c>
      <c r="B8" s="4">
        <v>-85.349199999999996</v>
      </c>
      <c r="C8" s="4">
        <v>-4.0007000000000001</v>
      </c>
      <c r="D8" s="4">
        <v>-6.7152000000000003</v>
      </c>
      <c r="E8" s="4">
        <v>0.71599999999999997</v>
      </c>
      <c r="F8" s="4">
        <v>0.99009999999999998</v>
      </c>
      <c r="G8" s="4">
        <v>1</v>
      </c>
      <c r="H8" s="4">
        <v>1</v>
      </c>
      <c r="I8" s="4">
        <v>0.98839999999999995</v>
      </c>
    </row>
    <row r="9" spans="1:9" x14ac:dyDescent="0.3">
      <c r="A9" s="28" t="s">
        <v>176</v>
      </c>
      <c r="B9" s="4">
        <v>-88.227900000000005</v>
      </c>
      <c r="C9" s="4">
        <v>-4</v>
      </c>
      <c r="D9" s="4">
        <v>-6.7141999999999999</v>
      </c>
      <c r="E9" s="4">
        <v>0.63780000000000003</v>
      </c>
      <c r="F9" s="4">
        <v>1</v>
      </c>
      <c r="G9" s="4">
        <v>1</v>
      </c>
      <c r="H9" s="4">
        <v>1</v>
      </c>
      <c r="I9" s="4">
        <v>0.99950000000000006</v>
      </c>
    </row>
    <row r="10" spans="1:9" x14ac:dyDescent="0.3">
      <c r="A10" s="28" t="s">
        <v>179</v>
      </c>
      <c r="B10" s="4">
        <v>-51.070599999999999</v>
      </c>
      <c r="C10" s="4">
        <v>-2.2109999999999999</v>
      </c>
      <c r="D10" s="4">
        <v>-3.5175000000000001</v>
      </c>
      <c r="E10" s="4">
        <v>0.62539999999999996</v>
      </c>
      <c r="F10" s="4">
        <v>0.51229999999999998</v>
      </c>
      <c r="G10" s="4">
        <v>0.51490000000000002</v>
      </c>
      <c r="H10" s="4">
        <v>0.55500000000000005</v>
      </c>
      <c r="I10" s="4">
        <v>6.7599999999999993E-2</v>
      </c>
    </row>
    <row r="11" spans="1:9" x14ac:dyDescent="0.3">
      <c r="A11" s="28" t="s">
        <v>187</v>
      </c>
      <c r="B11" s="4">
        <v>-42.592599999999997</v>
      </c>
      <c r="C11" s="4">
        <v>-4.1616</v>
      </c>
      <c r="D11" s="4">
        <v>-3.1095999999999999</v>
      </c>
      <c r="E11" s="4">
        <v>0.55859999999999999</v>
      </c>
      <c r="F11" s="4">
        <v>0.60009999999999997</v>
      </c>
      <c r="G11" s="4">
        <v>0.60009999999999997</v>
      </c>
      <c r="H11" s="4">
        <v>0.63980000000000004</v>
      </c>
      <c r="I11" s="4">
        <v>0.63859999999999995</v>
      </c>
    </row>
    <row r="12" spans="1:9" x14ac:dyDescent="0.3">
      <c r="A12" s="28" t="s">
        <v>191</v>
      </c>
      <c r="B12" s="4">
        <v>-168.46360000000001</v>
      </c>
      <c r="C12" s="4">
        <v>-0.19769999999999999</v>
      </c>
      <c r="D12" s="4">
        <v>-3.8376999999999999</v>
      </c>
      <c r="E12" s="4">
        <v>-21.585999999999999</v>
      </c>
      <c r="F12" s="4">
        <v>2.4E-2</v>
      </c>
      <c r="G12" s="4">
        <v>3.1899999999999998E-2</v>
      </c>
      <c r="H12" s="4">
        <v>2.87E-2</v>
      </c>
      <c r="I12" s="4">
        <v>-3.5516000000000001</v>
      </c>
    </row>
    <row r="13" spans="1:9" x14ac:dyDescent="0.3">
      <c r="A13" s="28" t="s">
        <v>193</v>
      </c>
      <c r="B13" s="4">
        <v>-225.82490000000001</v>
      </c>
      <c r="C13" s="4">
        <v>-9.4774999999999991</v>
      </c>
      <c r="D13" s="4">
        <v>-7.3886000000000003</v>
      </c>
      <c r="E13" s="4">
        <v>-11.835800000000001</v>
      </c>
      <c r="F13" s="4">
        <v>-0.27789999999999998</v>
      </c>
      <c r="G13" s="4">
        <v>-0.23130000000000001</v>
      </c>
      <c r="H13" s="4">
        <v>-0.22589999999999999</v>
      </c>
      <c r="I13" s="4">
        <v>0.82609999999999995</v>
      </c>
    </row>
    <row r="14" spans="1:9" x14ac:dyDescent="0.3">
      <c r="A14" s="28" t="s">
        <v>196</v>
      </c>
      <c r="B14" s="4">
        <v>-180.8749</v>
      </c>
      <c r="C14" s="4">
        <v>-9.7897999999999996</v>
      </c>
      <c r="D14" s="4">
        <v>-6.1219000000000001</v>
      </c>
      <c r="E14" s="4">
        <v>-6.2499000000000002</v>
      </c>
      <c r="F14" s="4">
        <v>-0.54039999999999999</v>
      </c>
      <c r="G14" s="4">
        <v>-0.54039999999999999</v>
      </c>
      <c r="H14" s="4">
        <v>-0.22939999999999999</v>
      </c>
      <c r="I14" s="4">
        <v>-3.1534</v>
      </c>
    </row>
    <row r="15" spans="1:9" x14ac:dyDescent="0.3">
      <c r="A15" s="28" t="s">
        <v>198</v>
      </c>
      <c r="B15" s="4">
        <v>-73.901399999999995</v>
      </c>
      <c r="C15" s="4">
        <v>-1.6272</v>
      </c>
      <c r="D15" s="4">
        <v>-10.8619</v>
      </c>
      <c r="E15" s="4">
        <v>-2.1700000000000001E-2</v>
      </c>
      <c r="F15" s="4">
        <v>0.90210000000000001</v>
      </c>
      <c r="G15" s="4">
        <v>0.90210000000000001</v>
      </c>
      <c r="H15" s="4">
        <v>0.91139999999999999</v>
      </c>
      <c r="I15" s="4">
        <v>0.78259999999999996</v>
      </c>
    </row>
    <row r="16" spans="1:9" x14ac:dyDescent="0.3">
      <c r="A16" s="28" t="s">
        <v>203</v>
      </c>
      <c r="B16" s="4">
        <v>-14.5044</v>
      </c>
      <c r="C16" s="4">
        <v>-2.2905000000000002</v>
      </c>
      <c r="D16" s="4">
        <v>-1.6917</v>
      </c>
      <c r="E16" s="4">
        <v>-1.5370999999999999</v>
      </c>
      <c r="F16" s="4">
        <v>6.7799999999999999E-2</v>
      </c>
      <c r="G16" s="4">
        <v>7.1499999999999994E-2</v>
      </c>
      <c r="H16" s="4">
        <v>0.1201</v>
      </c>
      <c r="I16" s="4">
        <v>0.24440000000000001</v>
      </c>
    </row>
    <row r="17" spans="1:9" x14ac:dyDescent="0.3">
      <c r="A17" s="28" t="s">
        <v>207</v>
      </c>
      <c r="B17" s="4">
        <v>0</v>
      </c>
      <c r="C17" s="4">
        <v>-17.7408</v>
      </c>
      <c r="D17" s="4">
        <v>-146.43860000000001</v>
      </c>
      <c r="E17" s="4">
        <v>-42.408200000000001</v>
      </c>
      <c r="F17" s="4">
        <v>-1.0208999999999999</v>
      </c>
      <c r="G17" s="4">
        <v>-3.5200000000000002E-2</v>
      </c>
      <c r="H17" s="4">
        <v>0.39329999999999998</v>
      </c>
      <c r="I17" s="4">
        <v>-47.045699999999997</v>
      </c>
    </row>
    <row r="18" spans="1:9" x14ac:dyDescent="0.3">
      <c r="A18" s="28" t="s">
        <v>210</v>
      </c>
      <c r="B18" s="4">
        <v>-55.401899999999998</v>
      </c>
      <c r="C18" s="4">
        <v>-0.95879999999999999</v>
      </c>
      <c r="D18" s="4">
        <v>-38.842599999999997</v>
      </c>
      <c r="E18" s="4">
        <v>-0.93369999999999997</v>
      </c>
      <c r="F18" s="4">
        <v>-0.21390000000000001</v>
      </c>
      <c r="G18" s="4">
        <v>-0.50829999999999997</v>
      </c>
      <c r="H18" s="4">
        <v>-0.19420000000000001</v>
      </c>
      <c r="I18" s="4">
        <v>-6.5500000000000003E-2</v>
      </c>
    </row>
    <row r="19" spans="1:9" x14ac:dyDescent="0.3">
      <c r="A19" s="28" t="s">
        <v>212</v>
      </c>
      <c r="B19" s="4">
        <v>-0.18340000000000001</v>
      </c>
      <c r="C19" s="4">
        <v>-0.29959999999999998</v>
      </c>
      <c r="D19" s="4">
        <v>-25.667400000000001</v>
      </c>
      <c r="E19" s="4">
        <v>-1.073</v>
      </c>
      <c r="F19" s="4">
        <v>0.28089999999999998</v>
      </c>
      <c r="G19" s="4">
        <v>0.43020000000000003</v>
      </c>
      <c r="H19" s="4">
        <v>0.54549999999999998</v>
      </c>
      <c r="I19" s="4">
        <v>-1.2483</v>
      </c>
    </row>
    <row r="20" spans="1:9" x14ac:dyDescent="0.3">
      <c r="A20" s="28" t="s">
        <v>215</v>
      </c>
      <c r="B20" s="4">
        <v>-3.6852999999999998</v>
      </c>
      <c r="C20" s="4">
        <v>-3.1324999999999998</v>
      </c>
      <c r="D20" s="4">
        <v>-4.7335000000000003</v>
      </c>
      <c r="E20" s="4">
        <v>-12.254200000000001</v>
      </c>
      <c r="F20" s="4">
        <v>-0.10630000000000001</v>
      </c>
      <c r="G20" s="4">
        <v>-7.7200000000000005E-2</v>
      </c>
      <c r="H20" s="4">
        <v>-7.7200000000000005E-2</v>
      </c>
      <c r="I20" s="4">
        <v>-2.5323000000000002</v>
      </c>
    </row>
    <row r="21" spans="1:9" x14ac:dyDescent="0.3">
      <c r="A21" s="28" t="s">
        <v>217</v>
      </c>
      <c r="B21" s="4">
        <v>-1.8431999999999999</v>
      </c>
      <c r="C21" s="4">
        <v>-8.7866</v>
      </c>
      <c r="D21" s="4">
        <v>-7.4478</v>
      </c>
      <c r="E21" s="4">
        <v>-17.015000000000001</v>
      </c>
      <c r="F21" s="4">
        <v>7.9699999999999993E-2</v>
      </c>
      <c r="G21" s="4">
        <v>0.18790000000000001</v>
      </c>
      <c r="H21" s="4">
        <v>0.22170000000000001</v>
      </c>
      <c r="I21" s="4">
        <v>-11.4391</v>
      </c>
    </row>
    <row r="22" spans="1:9" x14ac:dyDescent="0.3">
      <c r="A22" s="28" t="s">
        <v>219</v>
      </c>
      <c r="B22" s="4">
        <v>-6.0284000000000004</v>
      </c>
      <c r="C22" s="4">
        <v>-8.0454000000000008</v>
      </c>
      <c r="D22" s="4">
        <v>-6.0357000000000003</v>
      </c>
      <c r="E22" s="4">
        <v>-12.297000000000001</v>
      </c>
      <c r="F22" s="4">
        <v>0.18740000000000001</v>
      </c>
      <c r="G22" s="4">
        <v>0.3221</v>
      </c>
      <c r="H22" s="4">
        <v>0.3221</v>
      </c>
      <c r="I22" s="4">
        <v>-2.9134000000000002</v>
      </c>
    </row>
    <row r="23" spans="1:9" x14ac:dyDescent="0.3">
      <c r="A23" s="28" t="s">
        <v>222</v>
      </c>
      <c r="B23" s="4">
        <v>-0.1071</v>
      </c>
      <c r="C23" s="4">
        <v>-2.75E-2</v>
      </c>
      <c r="D23" s="4">
        <v>-3.9129</v>
      </c>
      <c r="E23" s="4">
        <v>-0.70669999999999999</v>
      </c>
      <c r="F23" s="4">
        <v>0.44180000000000003</v>
      </c>
      <c r="G23" s="4">
        <v>0.4446</v>
      </c>
      <c r="H23" s="4">
        <v>0.5071</v>
      </c>
      <c r="I23" s="4">
        <v>-3.6107</v>
      </c>
    </row>
    <row r="24" spans="1:9" x14ac:dyDescent="0.3">
      <c r="A24" s="28" t="s">
        <v>225</v>
      </c>
      <c r="B24" s="4">
        <v>-39.169600000000003</v>
      </c>
      <c r="C24" s="4">
        <v>-1.5046999999999999</v>
      </c>
      <c r="D24" s="4">
        <v>-0.501</v>
      </c>
      <c r="E24" s="4">
        <v>-1.581</v>
      </c>
      <c r="F24" s="4">
        <v>-0.64290000000000003</v>
      </c>
      <c r="G24" s="4">
        <v>-0.78869999999999996</v>
      </c>
      <c r="H24" s="4">
        <v>-0.70469999999999999</v>
      </c>
      <c r="I24" s="4">
        <v>-1.0517000000000001</v>
      </c>
    </row>
    <row r="25" spans="1:9" x14ac:dyDescent="0.3">
      <c r="A25" s="28" t="s">
        <v>228</v>
      </c>
      <c r="B25" s="4">
        <v>-57.4041</v>
      </c>
      <c r="C25" s="4">
        <v>-4.7999999999999996E-3</v>
      </c>
      <c r="D25" s="4">
        <v>-0.64280000000000004</v>
      </c>
      <c r="E25" s="4">
        <v>-12.169700000000001</v>
      </c>
      <c r="F25" s="4">
        <v>-0.32829999999999998</v>
      </c>
      <c r="G25" s="4">
        <v>-0.57640000000000002</v>
      </c>
      <c r="H25" s="4">
        <v>-0.3115</v>
      </c>
      <c r="I25" s="4">
        <v>-5.8464</v>
      </c>
    </row>
    <row r="26" spans="1:9" x14ac:dyDescent="0.3">
      <c r="A26" s="28" t="s">
        <v>230</v>
      </c>
      <c r="B26" s="4">
        <v>-0.65339999999999998</v>
      </c>
      <c r="C26" s="4">
        <v>-0.73970000000000002</v>
      </c>
      <c r="D26" s="4">
        <v>-1.1471</v>
      </c>
      <c r="E26" s="4">
        <v>-0.77270000000000005</v>
      </c>
      <c r="F26" s="4">
        <v>0.45069999999999999</v>
      </c>
      <c r="G26" s="4">
        <v>0.45579999999999998</v>
      </c>
      <c r="H26" s="4">
        <v>0.45579999999999998</v>
      </c>
      <c r="I26" s="4">
        <v>-1.0132000000000001</v>
      </c>
    </row>
    <row r="27" spans="1:9" x14ac:dyDescent="0.3">
      <c r="A27" s="28" t="s">
        <v>233</v>
      </c>
      <c r="B27" s="4">
        <v>-164.78749999999999</v>
      </c>
      <c r="C27" s="4">
        <v>-0.56259999999999999</v>
      </c>
      <c r="D27" s="4">
        <v>-0.52959999999999996</v>
      </c>
      <c r="E27" s="4">
        <v>-57.968600000000002</v>
      </c>
      <c r="F27" s="4">
        <v>-0.2137</v>
      </c>
      <c r="G27" s="4">
        <v>-0.25190000000000001</v>
      </c>
      <c r="H27" s="4">
        <v>-0.18729999999999999</v>
      </c>
      <c r="I27" s="4">
        <v>-0.16289999999999999</v>
      </c>
    </row>
    <row r="28" spans="1:9" x14ac:dyDescent="0.3">
      <c r="A28" s="28" t="s">
        <v>235</v>
      </c>
      <c r="B28" s="4">
        <v>-339.80020000000002</v>
      </c>
      <c r="C28" s="4">
        <v>-1.7223999999999999</v>
      </c>
      <c r="D28" s="4">
        <v>-0.87350000000000005</v>
      </c>
      <c r="E28" s="4">
        <v>-49.254899999999999</v>
      </c>
      <c r="F28" s="4">
        <v>0.81269999999999998</v>
      </c>
      <c r="G28" s="4">
        <v>0.80369999999999997</v>
      </c>
      <c r="H28" s="4">
        <v>0.81269999999999998</v>
      </c>
      <c r="I28" s="4">
        <v>0.51100000000000001</v>
      </c>
    </row>
  </sheetData>
  <conditionalFormatting sqref="I2:I28">
    <cfRule type="expression" dxfId="0" priority="1">
      <formula>I2&gt;H2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FF48-4F0B-4D01-8910-5F1EA393DD7D}">
  <dimension ref="A1:B23"/>
  <sheetViews>
    <sheetView workbookViewId="0">
      <selection activeCell="M3" sqref="M3"/>
    </sheetView>
  </sheetViews>
  <sheetFormatPr defaultRowHeight="14.4" x14ac:dyDescent="0.3"/>
  <cols>
    <col min="1" max="1" width="23.6640625" style="3" bestFit="1" customWidth="1"/>
    <col min="2" max="2" width="11.77734375" style="3" bestFit="1" customWidth="1"/>
    <col min="3" max="16384" width="8.88671875" style="3"/>
  </cols>
  <sheetData>
    <row r="1" spans="1:2" x14ac:dyDescent="0.3">
      <c r="A1" s="3" t="s">
        <v>91</v>
      </c>
      <c r="B1" s="3" t="s">
        <v>247</v>
      </c>
    </row>
    <row r="2" spans="1:2" x14ac:dyDescent="0.3">
      <c r="A2" s="3" t="s">
        <v>225</v>
      </c>
      <c r="B2" s="3">
        <v>16</v>
      </c>
    </row>
    <row r="3" spans="1:2" x14ac:dyDescent="0.3">
      <c r="A3" s="3" t="s">
        <v>210</v>
      </c>
      <c r="B3" s="3">
        <v>12</v>
      </c>
    </row>
    <row r="4" spans="1:2" x14ac:dyDescent="0.3">
      <c r="A4" s="3" t="s">
        <v>235</v>
      </c>
      <c r="B4" s="3">
        <v>11</v>
      </c>
    </row>
    <row r="5" spans="1:2" x14ac:dyDescent="0.3">
      <c r="A5" s="3" t="s">
        <v>139</v>
      </c>
      <c r="B5" s="3">
        <v>10</v>
      </c>
    </row>
    <row r="6" spans="1:2" x14ac:dyDescent="0.3">
      <c r="A6" s="3" t="s">
        <v>207</v>
      </c>
      <c r="B6" s="3">
        <v>9</v>
      </c>
    </row>
    <row r="7" spans="1:2" x14ac:dyDescent="0.3">
      <c r="A7" s="3" t="s">
        <v>233</v>
      </c>
      <c r="B7" s="3">
        <v>5</v>
      </c>
    </row>
    <row r="8" spans="1:2" x14ac:dyDescent="0.3">
      <c r="A8" s="3" t="s">
        <v>176</v>
      </c>
      <c r="B8" s="3">
        <v>4</v>
      </c>
    </row>
    <row r="9" spans="1:2" x14ac:dyDescent="0.3">
      <c r="A9" s="3" t="s">
        <v>172</v>
      </c>
      <c r="B9" s="3">
        <v>4</v>
      </c>
    </row>
    <row r="10" spans="1:2" x14ac:dyDescent="0.3">
      <c r="A10" s="3" t="s">
        <v>215</v>
      </c>
      <c r="B10" s="3">
        <v>4</v>
      </c>
    </row>
    <row r="11" spans="1:2" x14ac:dyDescent="0.3">
      <c r="A11" s="3" t="s">
        <v>228</v>
      </c>
      <c r="B11" s="3">
        <v>4</v>
      </c>
    </row>
    <row r="12" spans="1:2" x14ac:dyDescent="0.3">
      <c r="A12" s="3" t="s">
        <v>148</v>
      </c>
      <c r="B12" s="3">
        <v>4</v>
      </c>
    </row>
    <row r="13" spans="1:2" x14ac:dyDescent="0.3">
      <c r="A13" s="3" t="s">
        <v>230</v>
      </c>
      <c r="B13" s="3">
        <v>3</v>
      </c>
    </row>
    <row r="14" spans="1:2" x14ac:dyDescent="0.3">
      <c r="A14" s="3" t="s">
        <v>212</v>
      </c>
      <c r="B14" s="3">
        <v>3</v>
      </c>
    </row>
    <row r="15" spans="1:2" x14ac:dyDescent="0.3">
      <c r="A15" s="3" t="s">
        <v>159</v>
      </c>
      <c r="B15" s="3">
        <v>3</v>
      </c>
    </row>
    <row r="16" spans="1:2" x14ac:dyDescent="0.3">
      <c r="A16" s="3" t="s">
        <v>203</v>
      </c>
      <c r="B16" s="3">
        <v>3</v>
      </c>
    </row>
    <row r="17" spans="1:2" x14ac:dyDescent="0.3">
      <c r="A17" s="3" t="s">
        <v>193</v>
      </c>
      <c r="B17" s="3">
        <v>3</v>
      </c>
    </row>
    <row r="18" spans="1:2" x14ac:dyDescent="0.3">
      <c r="A18" s="3" t="s">
        <v>187</v>
      </c>
      <c r="B18" s="3">
        <v>2</v>
      </c>
    </row>
    <row r="19" spans="1:2" x14ac:dyDescent="0.3">
      <c r="A19" s="3" t="s">
        <v>219</v>
      </c>
      <c r="B19" s="3">
        <v>2</v>
      </c>
    </row>
    <row r="20" spans="1:2" x14ac:dyDescent="0.3">
      <c r="A20" s="3" t="s">
        <v>163</v>
      </c>
      <c r="B20" s="3">
        <v>2</v>
      </c>
    </row>
    <row r="21" spans="1:2" x14ac:dyDescent="0.3">
      <c r="A21" s="3" t="s">
        <v>166</v>
      </c>
      <c r="B21" s="3">
        <v>2</v>
      </c>
    </row>
    <row r="22" spans="1:2" x14ac:dyDescent="0.3">
      <c r="A22" s="3" t="s">
        <v>191</v>
      </c>
      <c r="B22" s="3">
        <v>1</v>
      </c>
    </row>
    <row r="23" spans="1:2" x14ac:dyDescent="0.3">
      <c r="A23" s="3" t="s">
        <v>196</v>
      </c>
      <c r="B23" s="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150D5-1959-4BC4-AA97-118CD751A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TOTAL</vt:lpstr>
      <vt:lpstr>comparisonMAPE</vt:lpstr>
      <vt:lpstr>comparisonR2</vt:lpstr>
      <vt:lpstr>exogenous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Ginevra Oldani</cp:lastModifiedBy>
  <dcterms:created xsi:type="dcterms:W3CDTF">2026-02-04T11:44:03Z</dcterms:created>
  <dcterms:modified xsi:type="dcterms:W3CDTF">2026-02-09T16:58:42Z</dcterms:modified>
</cp:coreProperties>
</file>